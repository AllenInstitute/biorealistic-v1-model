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hinya.ito/wsdata/glif_builder/"/>
    </mc:Choice>
  </mc:AlternateContent>
  <xr:revisionPtr revIDLastSave="0" documentId="13_ncr:1_{46A49E66-3137-524E-A3E0-C8BC242B51B2}" xr6:coauthVersionLast="47" xr6:coauthVersionMax="47" xr10:uidLastSave="{00000000-0000-0000-0000-000000000000}"/>
  <bookViews>
    <workbookView xWindow="-25600" yWindow="16960" windowWidth="25600" windowHeight="15540" activeTab="1" xr2:uid="{CFFEA874-25CC-4540-BE90-5AB415846019}"/>
  </bookViews>
  <sheets>
    <sheet name="cell_models" sheetId="1" r:id="rId1"/>
    <sheet name="general_parameter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16" i="1" l="1"/>
  <c r="N25" i="1"/>
  <c r="M16" i="1" l="1"/>
  <c r="N16" i="1" s="1"/>
  <c r="D16" i="1"/>
  <c r="J21" i="1"/>
  <c r="J23" i="1"/>
  <c r="J22" i="1"/>
  <c r="J18" i="1"/>
  <c r="J19" i="1"/>
  <c r="J17" i="1"/>
  <c r="J11" i="1"/>
  <c r="J13" i="1"/>
  <c r="J12" i="1"/>
  <c r="J4" i="1"/>
  <c r="J5" i="1"/>
  <c r="J6" i="1"/>
  <c r="K38" i="1"/>
  <c r="J38" i="1"/>
  <c r="J10" i="1"/>
  <c r="C38" i="1"/>
  <c r="H3" i="1" s="1"/>
  <c r="C39" i="1"/>
  <c r="H7" i="1" s="1"/>
  <c r="C40" i="1"/>
  <c r="I10" i="1" s="1"/>
  <c r="C41" i="1"/>
  <c r="H20" i="1" s="1"/>
  <c r="C42" i="1"/>
  <c r="I20" i="1" s="1"/>
  <c r="C37" i="1"/>
  <c r="H2" i="1" s="1"/>
  <c r="D3" i="1"/>
  <c r="M3" i="1" s="1"/>
  <c r="D4" i="1"/>
  <c r="D5" i="1"/>
  <c r="D6" i="1"/>
  <c r="D7" i="1"/>
  <c r="M7" i="1" s="1"/>
  <c r="D8" i="1"/>
  <c r="M8" i="1" s="1"/>
  <c r="D9" i="1"/>
  <c r="M9" i="1" s="1"/>
  <c r="D10" i="1"/>
  <c r="D11" i="1"/>
  <c r="D12" i="1"/>
  <c r="D13" i="1"/>
  <c r="D14" i="1"/>
  <c r="M14" i="1" s="1"/>
  <c r="D15" i="1"/>
  <c r="M15" i="1" s="1"/>
  <c r="D17" i="1"/>
  <c r="D18" i="1"/>
  <c r="D19" i="1"/>
  <c r="D20" i="1"/>
  <c r="M20" i="1" s="1"/>
  <c r="D21" i="1"/>
  <c r="D22" i="1"/>
  <c r="D23" i="1"/>
  <c r="D2" i="1"/>
  <c r="M2" i="1" s="1"/>
  <c r="M5" i="1" l="1"/>
  <c r="M6" i="1"/>
  <c r="H19" i="1"/>
  <c r="M22" i="1"/>
  <c r="N22" i="1" s="1"/>
  <c r="O22" i="1" s="1"/>
  <c r="M12" i="1"/>
  <c r="N12" i="1" s="1"/>
  <c r="O12" i="1" s="1"/>
  <c r="M10" i="1"/>
  <c r="N6" i="1"/>
  <c r="O6" i="1" s="1"/>
  <c r="M13" i="1"/>
  <c r="N13" i="1" s="1"/>
  <c r="O13" i="1" s="1"/>
  <c r="M21" i="1"/>
  <c r="N21" i="1" s="1"/>
  <c r="O21" i="1" s="1"/>
  <c r="N14" i="1"/>
  <c r="O14" i="1" s="1"/>
  <c r="H6" i="1"/>
  <c r="I7" i="1"/>
  <c r="I13" i="1"/>
  <c r="I3" i="1"/>
  <c r="N10" i="1"/>
  <c r="O10" i="1" s="1"/>
  <c r="I6" i="1"/>
  <c r="M4" i="1"/>
  <c r="N4" i="1" s="1"/>
  <c r="O4" i="1" s="1"/>
  <c r="H9" i="1"/>
  <c r="M23" i="1"/>
  <c r="N23" i="1" s="1"/>
  <c r="O23" i="1" s="1"/>
  <c r="N5" i="1"/>
  <c r="O5" i="1" s="1"/>
  <c r="M11" i="1"/>
  <c r="N11" i="1" s="1"/>
  <c r="O11" i="1" s="1"/>
  <c r="M17" i="1"/>
  <c r="N17" i="1" s="1"/>
  <c r="O17" i="1" s="1"/>
  <c r="H13" i="1"/>
  <c r="M19" i="1"/>
  <c r="N19" i="1" s="1"/>
  <c r="O19" i="1" s="1"/>
  <c r="H10" i="1"/>
  <c r="M18" i="1"/>
  <c r="I9" i="1"/>
  <c r="N9" i="1"/>
  <c r="O9" i="1" s="1"/>
  <c r="N8" i="1"/>
  <c r="O8" i="1" s="1"/>
  <c r="N2" i="1"/>
  <c r="N15" i="1"/>
  <c r="O15" i="1" s="1"/>
  <c r="N7" i="1"/>
  <c r="O7" i="1" s="1"/>
  <c r="N20" i="1"/>
  <c r="O20" i="1" s="1"/>
  <c r="N3" i="1"/>
  <c r="O3" i="1" s="1"/>
  <c r="I5" i="1"/>
  <c r="I22" i="1"/>
  <c r="H12" i="1"/>
  <c r="H17" i="1"/>
  <c r="I4" i="1"/>
  <c r="I11" i="1"/>
  <c r="H14" i="1"/>
  <c r="I15" i="1"/>
  <c r="I21" i="1"/>
  <c r="I23" i="1"/>
  <c r="H23" i="1"/>
  <c r="I12" i="1"/>
  <c r="I17" i="1"/>
  <c r="H5" i="1"/>
  <c r="H8" i="1"/>
  <c r="H22" i="1"/>
  <c r="I2" i="1"/>
  <c r="H4" i="1"/>
  <c r="H11" i="1"/>
  <c r="I14" i="1"/>
  <c r="H15" i="1"/>
  <c r="H21" i="1"/>
  <c r="I18" i="1"/>
  <c r="H18" i="1"/>
  <c r="I8" i="1"/>
  <c r="I19" i="1"/>
  <c r="N18" i="1" l="1"/>
  <c r="O18" i="1" s="1"/>
  <c r="M25" i="1"/>
  <c r="O2" i="1"/>
  <c r="O25" i="1" l="1"/>
</calcChain>
</file>

<file path=xl/sharedStrings.xml><?xml version="1.0" encoding="utf-8"?>
<sst xmlns="http://schemas.openxmlformats.org/spreadsheetml/2006/main" count="118" uniqueCount="75">
  <si>
    <t>e23Cux2</t>
  </si>
  <si>
    <t>i1Htr3a</t>
  </si>
  <si>
    <t>i23Pvalb</t>
  </si>
  <si>
    <t>i23Sst</t>
  </si>
  <si>
    <t>e4Nr5a1</t>
  </si>
  <si>
    <t>e4Rorb</t>
  </si>
  <si>
    <t>e4Scnn1a</t>
  </si>
  <si>
    <t>e4other</t>
  </si>
  <si>
    <t>i4Pvalb</t>
  </si>
  <si>
    <t>i4Sst</t>
  </si>
  <si>
    <t>i5Pvalb</t>
  </si>
  <si>
    <t>i5Sst</t>
  </si>
  <si>
    <t>e6Ntsr1</t>
  </si>
  <si>
    <t>i6Pvalb</t>
  </si>
  <si>
    <t>i6Sst</t>
  </si>
  <si>
    <t>VisL1</t>
  </si>
  <si>
    <t>VisL4</t>
  </si>
  <si>
    <t>VisL5</t>
  </si>
  <si>
    <t>ei</t>
  </si>
  <si>
    <t>Layer thicknesses</t>
  </si>
  <si>
    <t>Layer boundaries</t>
  </si>
  <si>
    <t>Layer</t>
  </si>
  <si>
    <t>neuropil</t>
  </si>
  <si>
    <t>L1</t>
  </si>
  <si>
    <t>L23</t>
  </si>
  <si>
    <t>L4</t>
  </si>
  <si>
    <t>L5</t>
  </si>
  <si>
    <t>L6</t>
  </si>
  <si>
    <t>Domain</t>
  </si>
  <si>
    <t>radius (mm)</t>
  </si>
  <si>
    <t>area (mm^2)</t>
  </si>
  <si>
    <t>core</t>
  </si>
  <si>
    <t>base core cell number</t>
  </si>
  <si>
    <t>inhibitory fraction</t>
  </si>
  <si>
    <t>peripheral</t>
  </si>
  <si>
    <t>location</t>
  </si>
  <si>
    <t>Relative fraction within ei</t>
  </si>
  <si>
    <t>VisL6a</t>
  </si>
  <si>
    <t>VisL2/3</t>
  </si>
  <si>
    <t>reporter_status</t>
  </si>
  <si>
    <t>positive</t>
  </si>
  <si>
    <t>negative</t>
  </si>
  <si>
    <t>cre_line</t>
  </si>
  <si>
    <t>Htr3a</t>
  </si>
  <si>
    <t>Cux2</t>
  </si>
  <si>
    <t>Sst</t>
  </si>
  <si>
    <t>Nr5a1</t>
  </si>
  <si>
    <t>Rorb</t>
  </si>
  <si>
    <t>Scnn1a</t>
  </si>
  <si>
    <t>Ntsr1</t>
  </si>
  <si>
    <t>Nr5a1,Rorb,Scnn1a</t>
  </si>
  <si>
    <t>pop_name</t>
  </si>
  <si>
    <t>pop_id</t>
  </si>
  <si>
    <t>pop_combined_count</t>
  </si>
  <si>
    <t>pop_core_count</t>
  </si>
  <si>
    <t>pop_peripheral_count</t>
  </si>
  <si>
    <t>upper_bound</t>
  </si>
  <si>
    <t>lower_bound</t>
  </si>
  <si>
    <t>Vip-</t>
  </si>
  <si>
    <t>Pvalb-IRES</t>
  </si>
  <si>
    <t>i23Vip</t>
  </si>
  <si>
    <t>i4Vip</t>
  </si>
  <si>
    <t>i5Vip</t>
  </si>
  <si>
    <t>i6Vip</t>
  </si>
  <si>
    <t>e5IT</t>
  </si>
  <si>
    <t>e5ET</t>
  </si>
  <si>
    <t>e5NP</t>
  </si>
  <si>
    <t>ME_Exc_1</t>
  </si>
  <si>
    <t>ME_Exc_5,ME_Exc_13</t>
  </si>
  <si>
    <t>Exc_3</t>
  </si>
  <si>
    <t>me_type</t>
  </si>
  <si>
    <t>core_radius</t>
  </si>
  <si>
    <t>radius</t>
  </si>
  <si>
    <t>properties</t>
  </si>
  <si>
    <t>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</si>
</sst>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17F6F-74AA-824C-8392-CC22C78F6ABE}">
  <dimension ref="A1:O42"/>
  <sheetViews>
    <sheetView topLeftCell="F1" workbookViewId="0">
      <selection activeCell="O3" sqref="O3"/>
    </sheetView>
  </sheetViews>
  <sheetFormatPr baseColWidth="10" defaultRowHeight="16" x14ac:dyDescent="0.2"/>
  <cols>
    <col min="1" max="1" width="7.33203125" customWidth="1"/>
    <col min="2" max="2" width="12.83203125" customWidth="1"/>
    <col min="3" max="3" width="9.1640625" customWidth="1"/>
    <col min="4" max="4" width="5.1640625" customWidth="1"/>
    <col min="5" max="5" width="19" customWidth="1"/>
    <col min="6" max="7" width="14.6640625" customWidth="1"/>
    <col min="8" max="8" width="12.33203125" customWidth="1"/>
    <col min="9" max="9" width="13" customWidth="1"/>
    <col min="10" max="10" width="23.1640625" customWidth="1"/>
    <col min="11" max="11" width="19.83203125" customWidth="1"/>
    <col min="12" max="12" width="19.33203125" customWidth="1"/>
    <col min="13" max="13" width="14.83203125" customWidth="1"/>
    <col min="14" max="14" width="19.1640625" customWidth="1"/>
    <col min="15" max="15" width="19.5" customWidth="1"/>
  </cols>
  <sheetData>
    <row r="1" spans="1:15" x14ac:dyDescent="0.2">
      <c r="A1" t="s">
        <v>52</v>
      </c>
      <c r="B1" t="s">
        <v>51</v>
      </c>
      <c r="C1" t="s">
        <v>35</v>
      </c>
      <c r="D1" t="s">
        <v>18</v>
      </c>
      <c r="E1" t="s">
        <v>42</v>
      </c>
      <c r="F1" t="s">
        <v>39</v>
      </c>
      <c r="G1" t="s">
        <v>70</v>
      </c>
      <c r="H1" t="s">
        <v>56</v>
      </c>
      <c r="I1" t="s">
        <v>57</v>
      </c>
      <c r="J1" t="s">
        <v>36</v>
      </c>
      <c r="K1" t="s">
        <v>32</v>
      </c>
      <c r="L1" t="s">
        <v>33</v>
      </c>
      <c r="M1" t="s">
        <v>54</v>
      </c>
      <c r="N1" t="s">
        <v>55</v>
      </c>
      <c r="O1" t="s">
        <v>53</v>
      </c>
    </row>
    <row r="2" spans="1:15" x14ac:dyDescent="0.2">
      <c r="A2">
        <v>0</v>
      </c>
      <c r="B2" t="s">
        <v>1</v>
      </c>
      <c r="C2" t="s">
        <v>15</v>
      </c>
      <c r="D2" t="str">
        <f t="shared" ref="D2:D23" si="0">LEFT(B2, 1)</f>
        <v>i</v>
      </c>
      <c r="E2" t="s">
        <v>43</v>
      </c>
      <c r="F2" t="s">
        <v>40</v>
      </c>
      <c r="H2">
        <f>$C$37</f>
        <v>50</v>
      </c>
      <c r="I2">
        <f>$C$38</f>
        <v>169</v>
      </c>
      <c r="J2">
        <v>1</v>
      </c>
      <c r="K2">
        <v>603</v>
      </c>
      <c r="L2">
        <v>1</v>
      </c>
      <c r="M2">
        <f>ROUND(K2*J2*IF(EXACT(D2,"i"), L2, 1-L2), 0)</f>
        <v>603</v>
      </c>
      <c r="N2">
        <f>ROUND(M2/$J$38*$K$38, 0)</f>
        <v>2088</v>
      </c>
      <c r="O2">
        <f>SUM(M2:N2)</f>
        <v>2691</v>
      </c>
    </row>
    <row r="3" spans="1:15" x14ac:dyDescent="0.2">
      <c r="A3">
        <v>1</v>
      </c>
      <c r="B3" t="s">
        <v>0</v>
      </c>
      <c r="C3" t="s">
        <v>38</v>
      </c>
      <c r="D3" t="str">
        <f t="shared" si="0"/>
        <v>e</v>
      </c>
      <c r="E3" t="s">
        <v>44</v>
      </c>
      <c r="F3" t="s">
        <v>40</v>
      </c>
      <c r="H3">
        <f>$C$38</f>
        <v>169</v>
      </c>
      <c r="I3">
        <f>$C$39</f>
        <v>357</v>
      </c>
      <c r="J3">
        <v>1</v>
      </c>
      <c r="K3">
        <v>18648</v>
      </c>
      <c r="L3">
        <v>0.1</v>
      </c>
      <c r="M3">
        <f t="shared" ref="M3:M23" si="1">ROUND(K3*J3*IF(EXACT(D3,"i"), L3, 1-L3), 0)</f>
        <v>16783</v>
      </c>
      <c r="N3">
        <f t="shared" ref="N3:N23" si="2">ROUND(M3/$J$38*$K$38, 0)</f>
        <v>58114</v>
      </c>
      <c r="O3">
        <f t="shared" ref="O3:O23" si="3">SUM(M3:N3)</f>
        <v>74897</v>
      </c>
    </row>
    <row r="4" spans="1:15" x14ac:dyDescent="0.2">
      <c r="A4">
        <v>2</v>
      </c>
      <c r="B4" t="s">
        <v>60</v>
      </c>
      <c r="C4" t="s">
        <v>38</v>
      </c>
      <c r="D4" t="str">
        <f t="shared" si="0"/>
        <v>i</v>
      </c>
      <c r="E4" t="s">
        <v>58</v>
      </c>
      <c r="F4" t="s">
        <v>40</v>
      </c>
      <c r="H4">
        <f>$C$38</f>
        <v>169</v>
      </c>
      <c r="I4">
        <f>$C$39</f>
        <v>357</v>
      </c>
      <c r="J4">
        <f>48/98</f>
        <v>0.48979591836734693</v>
      </c>
      <c r="K4">
        <v>18648</v>
      </c>
      <c r="L4">
        <v>0.1</v>
      </c>
      <c r="M4">
        <f t="shared" si="1"/>
        <v>913</v>
      </c>
      <c r="N4">
        <f t="shared" si="2"/>
        <v>3161</v>
      </c>
      <c r="O4">
        <f t="shared" si="3"/>
        <v>4074</v>
      </c>
    </row>
    <row r="5" spans="1:15" x14ac:dyDescent="0.2">
      <c r="A5">
        <v>3</v>
      </c>
      <c r="B5" t="s">
        <v>2</v>
      </c>
      <c r="C5" t="s">
        <v>38</v>
      </c>
      <c r="D5" t="str">
        <f t="shared" si="0"/>
        <v>i</v>
      </c>
      <c r="E5" t="s">
        <v>59</v>
      </c>
      <c r="F5" t="s">
        <v>40</v>
      </c>
      <c r="H5">
        <f>$C$38</f>
        <v>169</v>
      </c>
      <c r="I5">
        <f>$C$39</f>
        <v>357</v>
      </c>
      <c r="J5">
        <f>29/98</f>
        <v>0.29591836734693877</v>
      </c>
      <c r="K5">
        <v>18648</v>
      </c>
      <c r="L5">
        <v>0.1</v>
      </c>
      <c r="M5">
        <f t="shared" si="1"/>
        <v>552</v>
      </c>
      <c r="N5">
        <f t="shared" si="2"/>
        <v>1911</v>
      </c>
      <c r="O5">
        <f t="shared" si="3"/>
        <v>2463</v>
      </c>
    </row>
    <row r="6" spans="1:15" x14ac:dyDescent="0.2">
      <c r="A6">
        <v>4</v>
      </c>
      <c r="B6" t="s">
        <v>3</v>
      </c>
      <c r="C6" t="s">
        <v>38</v>
      </c>
      <c r="D6" t="str">
        <f t="shared" si="0"/>
        <v>i</v>
      </c>
      <c r="E6" t="s">
        <v>45</v>
      </c>
      <c r="F6" t="s">
        <v>40</v>
      </c>
      <c r="H6">
        <f>$C$38</f>
        <v>169</v>
      </c>
      <c r="I6">
        <f>$C$39</f>
        <v>357</v>
      </c>
      <c r="J6">
        <f>21/98</f>
        <v>0.21428571428571427</v>
      </c>
      <c r="K6">
        <v>18648</v>
      </c>
      <c r="L6">
        <v>0.1</v>
      </c>
      <c r="M6">
        <f t="shared" si="1"/>
        <v>400</v>
      </c>
      <c r="N6">
        <f t="shared" si="2"/>
        <v>1385</v>
      </c>
      <c r="O6">
        <f t="shared" si="3"/>
        <v>1785</v>
      </c>
    </row>
    <row r="7" spans="1:15" x14ac:dyDescent="0.2">
      <c r="A7">
        <v>5</v>
      </c>
      <c r="B7" t="s">
        <v>4</v>
      </c>
      <c r="C7" t="s">
        <v>16</v>
      </c>
      <c r="D7" t="str">
        <f t="shared" si="0"/>
        <v>e</v>
      </c>
      <c r="E7" t="s">
        <v>46</v>
      </c>
      <c r="F7" t="s">
        <v>40</v>
      </c>
      <c r="H7">
        <f t="shared" ref="H7:H13" si="4">$C$39</f>
        <v>357</v>
      </c>
      <c r="I7">
        <f t="shared" ref="I7:I13" si="5">$C$40</f>
        <v>505</v>
      </c>
      <c r="J7">
        <v>0.12</v>
      </c>
      <c r="K7">
        <v>19553</v>
      </c>
      <c r="L7">
        <v>0.11</v>
      </c>
      <c r="M7">
        <f t="shared" si="1"/>
        <v>2088</v>
      </c>
      <c r="N7">
        <f t="shared" si="2"/>
        <v>7230</v>
      </c>
      <c r="O7">
        <f t="shared" si="3"/>
        <v>9318</v>
      </c>
    </row>
    <row r="8" spans="1:15" x14ac:dyDescent="0.2">
      <c r="A8">
        <v>6</v>
      </c>
      <c r="B8" t="s">
        <v>5</v>
      </c>
      <c r="C8" t="s">
        <v>16</v>
      </c>
      <c r="D8" t="str">
        <f t="shared" si="0"/>
        <v>e</v>
      </c>
      <c r="E8" t="s">
        <v>47</v>
      </c>
      <c r="F8" t="s">
        <v>40</v>
      </c>
      <c r="H8">
        <f t="shared" si="4"/>
        <v>357</v>
      </c>
      <c r="I8">
        <f t="shared" si="5"/>
        <v>505</v>
      </c>
      <c r="J8">
        <v>0.26</v>
      </c>
      <c r="K8">
        <v>19553</v>
      </c>
      <c r="L8">
        <v>0.11</v>
      </c>
      <c r="M8">
        <f t="shared" si="1"/>
        <v>4525</v>
      </c>
      <c r="N8">
        <f t="shared" si="2"/>
        <v>15669</v>
      </c>
      <c r="O8">
        <f t="shared" si="3"/>
        <v>20194</v>
      </c>
    </row>
    <row r="9" spans="1:15" x14ac:dyDescent="0.2">
      <c r="A9">
        <v>7</v>
      </c>
      <c r="B9" t="s">
        <v>6</v>
      </c>
      <c r="C9" t="s">
        <v>16</v>
      </c>
      <c r="D9" t="str">
        <f t="shared" si="0"/>
        <v>e</v>
      </c>
      <c r="E9" t="s">
        <v>48</v>
      </c>
      <c r="F9" t="s">
        <v>40</v>
      </c>
      <c r="H9">
        <f t="shared" si="4"/>
        <v>357</v>
      </c>
      <c r="I9">
        <f t="shared" si="5"/>
        <v>505</v>
      </c>
      <c r="J9">
        <v>0.3</v>
      </c>
      <c r="K9">
        <v>19553</v>
      </c>
      <c r="L9">
        <v>0.11</v>
      </c>
      <c r="M9">
        <f t="shared" si="1"/>
        <v>5221</v>
      </c>
      <c r="N9">
        <f t="shared" si="2"/>
        <v>18079</v>
      </c>
      <c r="O9">
        <f t="shared" si="3"/>
        <v>23300</v>
      </c>
    </row>
    <row r="10" spans="1:15" x14ac:dyDescent="0.2">
      <c r="A10">
        <v>8</v>
      </c>
      <c r="B10" t="s">
        <v>7</v>
      </c>
      <c r="C10" t="s">
        <v>16</v>
      </c>
      <c r="D10" t="str">
        <f t="shared" si="0"/>
        <v>e</v>
      </c>
      <c r="E10" t="s">
        <v>50</v>
      </c>
      <c r="F10" t="s">
        <v>41</v>
      </c>
      <c r="H10">
        <f t="shared" si="4"/>
        <v>357</v>
      </c>
      <c r="I10">
        <f t="shared" si="5"/>
        <v>505</v>
      </c>
      <c r="J10">
        <f>1-SUM($J7:$J9)</f>
        <v>0.32000000000000006</v>
      </c>
      <c r="K10">
        <v>19553</v>
      </c>
      <c r="L10">
        <v>0.11</v>
      </c>
      <c r="M10">
        <f t="shared" si="1"/>
        <v>5569</v>
      </c>
      <c r="N10">
        <f t="shared" si="2"/>
        <v>19284</v>
      </c>
      <c r="O10">
        <f t="shared" si="3"/>
        <v>24853</v>
      </c>
    </row>
    <row r="11" spans="1:15" x14ac:dyDescent="0.2">
      <c r="A11">
        <v>9</v>
      </c>
      <c r="B11" t="s">
        <v>61</v>
      </c>
      <c r="C11" t="s">
        <v>16</v>
      </c>
      <c r="D11" t="str">
        <f t="shared" si="0"/>
        <v>i</v>
      </c>
      <c r="E11" t="s">
        <v>58</v>
      </c>
      <c r="F11" t="s">
        <v>40</v>
      </c>
      <c r="H11">
        <f t="shared" si="4"/>
        <v>357</v>
      </c>
      <c r="I11">
        <f t="shared" si="5"/>
        <v>505</v>
      </c>
      <c r="J11">
        <f>16/105</f>
        <v>0.15238095238095239</v>
      </c>
      <c r="K11">
        <v>19553</v>
      </c>
      <c r="L11">
        <v>0.11</v>
      </c>
      <c r="M11">
        <f t="shared" si="1"/>
        <v>328</v>
      </c>
      <c r="N11">
        <f t="shared" si="2"/>
        <v>1136</v>
      </c>
      <c r="O11">
        <f t="shared" si="3"/>
        <v>1464</v>
      </c>
    </row>
    <row r="12" spans="1:15" x14ac:dyDescent="0.2">
      <c r="A12">
        <v>10</v>
      </c>
      <c r="B12" t="s">
        <v>8</v>
      </c>
      <c r="C12" t="s">
        <v>16</v>
      </c>
      <c r="D12" t="str">
        <f t="shared" si="0"/>
        <v>i</v>
      </c>
      <c r="E12" t="s">
        <v>59</v>
      </c>
      <c r="F12" t="s">
        <v>40</v>
      </c>
      <c r="H12">
        <f t="shared" si="4"/>
        <v>357</v>
      </c>
      <c r="I12">
        <f t="shared" si="5"/>
        <v>505</v>
      </c>
      <c r="J12">
        <f>58/105</f>
        <v>0.55238095238095242</v>
      </c>
      <c r="K12">
        <v>19553</v>
      </c>
      <c r="L12">
        <v>0.11</v>
      </c>
      <c r="M12">
        <f t="shared" si="1"/>
        <v>1188</v>
      </c>
      <c r="N12">
        <f t="shared" si="2"/>
        <v>4114</v>
      </c>
      <c r="O12">
        <f t="shared" si="3"/>
        <v>5302</v>
      </c>
    </row>
    <row r="13" spans="1:15" x14ac:dyDescent="0.2">
      <c r="A13">
        <v>11</v>
      </c>
      <c r="B13" t="s">
        <v>9</v>
      </c>
      <c r="C13" t="s">
        <v>16</v>
      </c>
      <c r="D13" t="str">
        <f t="shared" si="0"/>
        <v>i</v>
      </c>
      <c r="E13" t="s">
        <v>45</v>
      </c>
      <c r="F13" t="s">
        <v>40</v>
      </c>
      <c r="H13">
        <f t="shared" si="4"/>
        <v>357</v>
      </c>
      <c r="I13">
        <f t="shared" si="5"/>
        <v>505</v>
      </c>
      <c r="J13">
        <f>31/105</f>
        <v>0.29523809523809524</v>
      </c>
      <c r="K13">
        <v>19553</v>
      </c>
      <c r="L13">
        <v>0.11</v>
      </c>
      <c r="M13">
        <f t="shared" si="1"/>
        <v>635</v>
      </c>
      <c r="N13">
        <f t="shared" si="2"/>
        <v>2199</v>
      </c>
      <c r="O13">
        <f t="shared" si="3"/>
        <v>2834</v>
      </c>
    </row>
    <row r="14" spans="1:15" x14ac:dyDescent="0.2">
      <c r="A14">
        <v>12</v>
      </c>
      <c r="B14" t="s">
        <v>64</v>
      </c>
      <c r="C14" t="s">
        <v>17</v>
      </c>
      <c r="D14" t="str">
        <f t="shared" si="0"/>
        <v>e</v>
      </c>
      <c r="G14" t="s">
        <v>68</v>
      </c>
      <c r="H14">
        <f>$C$40</f>
        <v>505</v>
      </c>
      <c r="I14">
        <f>$C$41</f>
        <v>665</v>
      </c>
      <c r="J14">
        <v>0.7</v>
      </c>
      <c r="K14">
        <v>11561</v>
      </c>
      <c r="L14">
        <v>0.19</v>
      </c>
      <c r="M14">
        <f t="shared" si="1"/>
        <v>6555</v>
      </c>
      <c r="N14">
        <f t="shared" si="2"/>
        <v>22698</v>
      </c>
      <c r="O14">
        <f t="shared" si="3"/>
        <v>29253</v>
      </c>
    </row>
    <row r="15" spans="1:15" x14ac:dyDescent="0.2">
      <c r="A15">
        <v>13</v>
      </c>
      <c r="B15" t="s">
        <v>65</v>
      </c>
      <c r="C15" t="s">
        <v>17</v>
      </c>
      <c r="D15" t="str">
        <f t="shared" si="0"/>
        <v>e</v>
      </c>
      <c r="G15" t="s">
        <v>67</v>
      </c>
      <c r="H15">
        <f>$C$40</f>
        <v>505</v>
      </c>
      <c r="I15">
        <f>$C$41</f>
        <v>665</v>
      </c>
      <c r="J15">
        <v>0.26</v>
      </c>
      <c r="K15">
        <v>11561</v>
      </c>
      <c r="L15">
        <v>0.19</v>
      </c>
      <c r="M15">
        <f t="shared" si="1"/>
        <v>2435</v>
      </c>
      <c r="N15">
        <f t="shared" si="2"/>
        <v>8432</v>
      </c>
      <c r="O15">
        <f t="shared" si="3"/>
        <v>10867</v>
      </c>
    </row>
    <row r="16" spans="1:15" x14ac:dyDescent="0.2">
      <c r="A16">
        <v>14</v>
      </c>
      <c r="B16" t="s">
        <v>66</v>
      </c>
      <c r="C16" t="s">
        <v>17</v>
      </c>
      <c r="D16" t="str">
        <f t="shared" si="0"/>
        <v>e</v>
      </c>
      <c r="G16" t="s">
        <v>69</v>
      </c>
      <c r="H16">
        <v>505</v>
      </c>
      <c r="I16">
        <v>665</v>
      </c>
      <c r="J16">
        <v>0.04</v>
      </c>
      <c r="K16">
        <v>11561</v>
      </c>
      <c r="L16">
        <v>0.19</v>
      </c>
      <c r="M16">
        <f t="shared" ref="M16" si="6">ROUND(K16*J16*IF(EXACT(D16,"i"), L16, 1-L16), 0)</f>
        <v>375</v>
      </c>
      <c r="N16">
        <f t="shared" ref="N16" si="7">ROUND(M16/$J$38*$K$38, 0)</f>
        <v>1298</v>
      </c>
      <c r="O16">
        <f t="shared" si="3"/>
        <v>1673</v>
      </c>
    </row>
    <row r="17" spans="1:15" x14ac:dyDescent="0.2">
      <c r="A17">
        <v>14</v>
      </c>
      <c r="B17" t="s">
        <v>62</v>
      </c>
      <c r="C17" t="s">
        <v>17</v>
      </c>
      <c r="D17" t="str">
        <f t="shared" si="0"/>
        <v>i</v>
      </c>
      <c r="E17" t="s">
        <v>58</v>
      </c>
      <c r="F17" t="s">
        <v>40</v>
      </c>
      <c r="H17">
        <f>$C$40</f>
        <v>505</v>
      </c>
      <c r="I17">
        <f>$C$41</f>
        <v>665</v>
      </c>
      <c r="J17">
        <f>9/105</f>
        <v>8.5714285714285715E-2</v>
      </c>
      <c r="K17">
        <v>11561</v>
      </c>
      <c r="L17">
        <v>0.19</v>
      </c>
      <c r="M17">
        <f t="shared" si="1"/>
        <v>188</v>
      </c>
      <c r="N17">
        <f t="shared" si="2"/>
        <v>651</v>
      </c>
      <c r="O17">
        <f t="shared" si="3"/>
        <v>839</v>
      </c>
    </row>
    <row r="18" spans="1:15" x14ac:dyDescent="0.2">
      <c r="A18">
        <v>15</v>
      </c>
      <c r="B18" t="s">
        <v>10</v>
      </c>
      <c r="C18" t="s">
        <v>17</v>
      </c>
      <c r="D18" t="str">
        <f t="shared" si="0"/>
        <v>i</v>
      </c>
      <c r="E18" t="s">
        <v>59</v>
      </c>
      <c r="F18" t="s">
        <v>40</v>
      </c>
      <c r="H18">
        <f>$C$40</f>
        <v>505</v>
      </c>
      <c r="I18">
        <f>$C$41</f>
        <v>665</v>
      </c>
      <c r="J18">
        <f>51/105</f>
        <v>0.48571428571428571</v>
      </c>
      <c r="K18">
        <v>11561</v>
      </c>
      <c r="L18">
        <v>0.19</v>
      </c>
      <c r="M18">
        <f t="shared" si="1"/>
        <v>1067</v>
      </c>
      <c r="N18">
        <f t="shared" si="2"/>
        <v>3695</v>
      </c>
      <c r="O18">
        <f t="shared" si="3"/>
        <v>4762</v>
      </c>
    </row>
    <row r="19" spans="1:15" x14ac:dyDescent="0.2">
      <c r="A19">
        <v>16</v>
      </c>
      <c r="B19" t="s">
        <v>11</v>
      </c>
      <c r="C19" t="s">
        <v>17</v>
      </c>
      <c r="D19" t="str">
        <f t="shared" si="0"/>
        <v>i</v>
      </c>
      <c r="E19" t="s">
        <v>45</v>
      </c>
      <c r="F19" t="s">
        <v>40</v>
      </c>
      <c r="H19">
        <f>$C$40</f>
        <v>505</v>
      </c>
      <c r="I19">
        <f>$C$41</f>
        <v>665</v>
      </c>
      <c r="J19">
        <f>45/105</f>
        <v>0.42857142857142855</v>
      </c>
      <c r="K19">
        <v>11561</v>
      </c>
      <c r="L19">
        <v>0.19</v>
      </c>
      <c r="M19">
        <f t="shared" si="1"/>
        <v>941</v>
      </c>
      <c r="N19">
        <f t="shared" si="2"/>
        <v>3258</v>
      </c>
      <c r="O19">
        <f t="shared" si="3"/>
        <v>4199</v>
      </c>
    </row>
    <row r="20" spans="1:15" x14ac:dyDescent="0.2">
      <c r="A20">
        <v>17</v>
      </c>
      <c r="B20" t="s">
        <v>12</v>
      </c>
      <c r="C20" t="s">
        <v>37</v>
      </c>
      <c r="D20" t="str">
        <f t="shared" si="0"/>
        <v>e</v>
      </c>
      <c r="E20" t="s">
        <v>49</v>
      </c>
      <c r="F20" t="s">
        <v>40</v>
      </c>
      <c r="H20">
        <f>$C$41</f>
        <v>665</v>
      </c>
      <c r="I20">
        <f>$C$42</f>
        <v>829</v>
      </c>
      <c r="J20">
        <v>1</v>
      </c>
      <c r="K20">
        <v>16185</v>
      </c>
      <c r="L20">
        <v>7.0000000000000007E-2</v>
      </c>
      <c r="M20">
        <f t="shared" si="1"/>
        <v>15052</v>
      </c>
      <c r="N20">
        <f t="shared" si="2"/>
        <v>52120</v>
      </c>
      <c r="O20">
        <f t="shared" si="3"/>
        <v>67172</v>
      </c>
    </row>
    <row r="21" spans="1:15" x14ac:dyDescent="0.2">
      <c r="A21">
        <v>18</v>
      </c>
      <c r="B21" t="s">
        <v>63</v>
      </c>
      <c r="C21" t="s">
        <v>37</v>
      </c>
      <c r="D21" t="str">
        <f t="shared" si="0"/>
        <v>i</v>
      </c>
      <c r="E21" t="s">
        <v>58</v>
      </c>
      <c r="F21" t="s">
        <v>40</v>
      </c>
      <c r="H21">
        <f>$C$41</f>
        <v>665</v>
      </c>
      <c r="I21">
        <f>$C$42</f>
        <v>829</v>
      </c>
      <c r="J21">
        <f>8/96</f>
        <v>8.3333333333333329E-2</v>
      </c>
      <c r="K21">
        <v>16185</v>
      </c>
      <c r="L21">
        <v>7.0000000000000007E-2</v>
      </c>
      <c r="M21">
        <f t="shared" si="1"/>
        <v>94</v>
      </c>
      <c r="N21">
        <f t="shared" si="2"/>
        <v>325</v>
      </c>
      <c r="O21">
        <f t="shared" si="3"/>
        <v>419</v>
      </c>
    </row>
    <row r="22" spans="1:15" x14ac:dyDescent="0.2">
      <c r="A22">
        <v>19</v>
      </c>
      <c r="B22" t="s">
        <v>13</v>
      </c>
      <c r="C22" t="s">
        <v>37</v>
      </c>
      <c r="D22" t="str">
        <f t="shared" si="0"/>
        <v>i</v>
      </c>
      <c r="E22" t="s">
        <v>59</v>
      </c>
      <c r="F22" t="s">
        <v>40</v>
      </c>
      <c r="H22">
        <f>$C$41</f>
        <v>665</v>
      </c>
      <c r="I22">
        <f>$C$42</f>
        <v>829</v>
      </c>
      <c r="J22">
        <f>44/96</f>
        <v>0.45833333333333331</v>
      </c>
      <c r="K22">
        <v>16185</v>
      </c>
      <c r="L22">
        <v>7.0000000000000007E-2</v>
      </c>
      <c r="M22">
        <f t="shared" si="1"/>
        <v>519</v>
      </c>
      <c r="N22">
        <f t="shared" si="2"/>
        <v>1797</v>
      </c>
      <c r="O22">
        <f t="shared" si="3"/>
        <v>2316</v>
      </c>
    </row>
    <row r="23" spans="1:15" x14ac:dyDescent="0.2">
      <c r="A23">
        <v>20</v>
      </c>
      <c r="B23" t="s">
        <v>14</v>
      </c>
      <c r="C23" t="s">
        <v>37</v>
      </c>
      <c r="D23" t="str">
        <f t="shared" si="0"/>
        <v>i</v>
      </c>
      <c r="E23" t="s">
        <v>45</v>
      </c>
      <c r="F23" t="s">
        <v>40</v>
      </c>
      <c r="H23">
        <f>$C$41</f>
        <v>665</v>
      </c>
      <c r="I23">
        <f>$C$42</f>
        <v>829</v>
      </c>
      <c r="J23">
        <f>44/96</f>
        <v>0.45833333333333331</v>
      </c>
      <c r="K23">
        <v>16185</v>
      </c>
      <c r="L23">
        <v>7.0000000000000007E-2</v>
      </c>
      <c r="M23">
        <f t="shared" si="1"/>
        <v>519</v>
      </c>
      <c r="N23">
        <f t="shared" si="2"/>
        <v>1797</v>
      </c>
      <c r="O23">
        <f t="shared" si="3"/>
        <v>2316</v>
      </c>
    </row>
    <row r="25" spans="1:15" x14ac:dyDescent="0.2">
      <c r="M25">
        <f>SUM(M2:M23)</f>
        <v>66550</v>
      </c>
      <c r="N25">
        <f>SUM(N2:N23)</f>
        <v>230441</v>
      </c>
      <c r="O25">
        <f>SUM(O2:O23)</f>
        <v>296991</v>
      </c>
    </row>
    <row r="36" spans="1:11" x14ac:dyDescent="0.2">
      <c r="A36" t="s">
        <v>21</v>
      </c>
      <c r="B36" t="s">
        <v>19</v>
      </c>
      <c r="C36" t="s">
        <v>20</v>
      </c>
      <c r="I36" t="s">
        <v>28</v>
      </c>
      <c r="J36" t="s">
        <v>31</v>
      </c>
      <c r="K36" t="s">
        <v>34</v>
      </c>
    </row>
    <row r="37" spans="1:11" x14ac:dyDescent="0.2">
      <c r="A37" t="s">
        <v>22</v>
      </c>
      <c r="B37">
        <v>50</v>
      </c>
      <c r="C37">
        <f>SUM($B$37:$B37)</f>
        <v>50</v>
      </c>
      <c r="I37" t="s">
        <v>29</v>
      </c>
      <c r="J37">
        <v>0.4</v>
      </c>
      <c r="K37">
        <v>0.84499999999999997</v>
      </c>
    </row>
    <row r="38" spans="1:11" x14ac:dyDescent="0.2">
      <c r="A38" t="s">
        <v>23</v>
      </c>
      <c r="B38">
        <v>119</v>
      </c>
      <c r="C38">
        <f>SUM($B$37:$B38)</f>
        <v>169</v>
      </c>
      <c r="I38" t="s">
        <v>30</v>
      </c>
      <c r="J38" s="1">
        <f>J37^2*PI()</f>
        <v>0.50265482457436694</v>
      </c>
      <c r="K38" s="1">
        <f>K37^2*PI() - J37^2*PI()</f>
        <v>1.7405208699050847</v>
      </c>
    </row>
    <row r="39" spans="1:11" x14ac:dyDescent="0.2">
      <c r="A39" t="s">
        <v>24</v>
      </c>
      <c r="B39">
        <v>188</v>
      </c>
      <c r="C39">
        <f>SUM($B$37:$B39)</f>
        <v>357</v>
      </c>
    </row>
    <row r="40" spans="1:11" x14ac:dyDescent="0.2">
      <c r="A40" t="s">
        <v>25</v>
      </c>
      <c r="B40">
        <v>148</v>
      </c>
      <c r="C40">
        <f>SUM($B$37:$B40)</f>
        <v>505</v>
      </c>
    </row>
    <row r="41" spans="1:11" x14ac:dyDescent="0.2">
      <c r="A41" t="s">
        <v>26</v>
      </c>
      <c r="B41">
        <v>160</v>
      </c>
      <c r="C41">
        <f>SUM($B$37:$B41)</f>
        <v>665</v>
      </c>
    </row>
    <row r="42" spans="1:11" x14ac:dyDescent="0.2">
      <c r="A42" t="s">
        <v>27</v>
      </c>
      <c r="B42">
        <v>164</v>
      </c>
      <c r="C42">
        <f>SUM($B$37:$B42)</f>
        <v>829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5B276-223D-6D40-A26E-7A81FF31A6D9}">
  <dimension ref="A1:B3"/>
  <sheetViews>
    <sheetView tabSelected="1" workbookViewId="0">
      <selection activeCell="A2" sqref="A2"/>
    </sheetView>
  </sheetViews>
  <sheetFormatPr baseColWidth="10" defaultRowHeight="16" x14ac:dyDescent="0.2"/>
  <cols>
    <col min="1" max="1" width="19.33203125" customWidth="1"/>
    <col min="2" max="2" width="20.6640625" customWidth="1"/>
  </cols>
  <sheetData>
    <row r="1" spans="1:2" x14ac:dyDescent="0.2">
      <c r="A1" t="s">
        <v>73</v>
      </c>
      <c r="B1" t="s">
        <v>74</v>
      </c>
    </row>
    <row r="2" spans="1:2" x14ac:dyDescent="0.2">
      <c r="A2" t="s">
        <v>72</v>
      </c>
      <c r="B2">
        <v>845</v>
      </c>
    </row>
    <row r="3" spans="1:2" x14ac:dyDescent="0.2">
      <c r="A3" t="s">
        <v>71</v>
      </c>
      <c r="B3">
        <v>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cell_models</vt:lpstr>
      <vt:lpstr>general_parameters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2021-05-21T17:25:13Z</dcterms:created>
  <dcterms:modified xsi:type="dcterms:W3CDTF">2021-07-08T01:38:14Z</dcterms:modified>
</cp:coreProperties>
</file>