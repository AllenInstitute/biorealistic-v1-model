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ya.ito/projects/Modeling/biorealistic-v1-model/base_props/"/>
    </mc:Choice>
  </mc:AlternateContent>
  <xr:revisionPtr revIDLastSave="0" documentId="13_ncr:1_{AE3C331A-08D7-4646-9BB9-81FD21E36611}" xr6:coauthVersionLast="47" xr6:coauthVersionMax="47" xr10:uidLastSave="{00000000-0000-0000-0000-000000000000}"/>
  <bookViews>
    <workbookView xWindow="8140" yWindow="12140" windowWidth="29520" windowHeight="22400" tabRatio="500" xr2:uid="{00000000-000D-0000-FFFF-FFFF00000000}"/>
  </bookViews>
  <sheets>
    <sheet name="cell_models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" i="1"/>
  <c r="J21" i="1"/>
  <c r="J22" i="1"/>
  <c r="J23" i="1"/>
  <c r="J20" i="1"/>
  <c r="J15" i="1"/>
  <c r="J16" i="1"/>
  <c r="J17" i="1"/>
  <c r="J18" i="1"/>
  <c r="J19" i="1"/>
  <c r="J14" i="1"/>
  <c r="J8" i="1"/>
  <c r="J9" i="1"/>
  <c r="J10" i="1"/>
  <c r="J11" i="1"/>
  <c r="J12" i="1"/>
  <c r="J13" i="1"/>
  <c r="J7" i="1"/>
  <c r="J4" i="1"/>
  <c r="J5" i="1"/>
  <c r="J6" i="1"/>
  <c r="J3" i="1"/>
  <c r="J2" i="1"/>
  <c r="F39" i="1"/>
  <c r="F40" i="1"/>
  <c r="F41" i="1"/>
  <c r="F42" i="1"/>
  <c r="F38" i="1"/>
  <c r="E39" i="1"/>
  <c r="E40" i="1"/>
  <c r="E41" i="1"/>
  <c r="E42" i="1"/>
  <c r="E38" i="1"/>
  <c r="C38" i="1"/>
  <c r="H5" i="1" s="1"/>
  <c r="C42" i="1" l="1"/>
  <c r="I21" i="1" s="1"/>
  <c r="C41" i="1"/>
  <c r="H21" i="1" s="1"/>
  <c r="C40" i="1"/>
  <c r="C39" i="1"/>
  <c r="I6" i="1" s="1"/>
  <c r="C48" i="1"/>
  <c r="B48" i="1"/>
  <c r="C37" i="1"/>
  <c r="L23" i="1"/>
  <c r="D23" i="1"/>
  <c r="L22" i="1"/>
  <c r="D22" i="1"/>
  <c r="L21" i="1"/>
  <c r="D21" i="1"/>
  <c r="D20" i="1"/>
  <c r="L19" i="1"/>
  <c r="D19" i="1"/>
  <c r="L18" i="1"/>
  <c r="D18" i="1"/>
  <c r="L17" i="1"/>
  <c r="D17" i="1"/>
  <c r="D16" i="1"/>
  <c r="D15" i="1"/>
  <c r="D14" i="1"/>
  <c r="L13" i="1"/>
  <c r="D13" i="1"/>
  <c r="L12" i="1"/>
  <c r="D12" i="1"/>
  <c r="L11" i="1"/>
  <c r="D11" i="1"/>
  <c r="L10" i="1"/>
  <c r="D10" i="1"/>
  <c r="D9" i="1"/>
  <c r="D8" i="1"/>
  <c r="D7" i="1"/>
  <c r="L6" i="1"/>
  <c r="H6" i="1"/>
  <c r="D6" i="1"/>
  <c r="L5" i="1"/>
  <c r="D5" i="1"/>
  <c r="L4" i="1"/>
  <c r="H4" i="1"/>
  <c r="D4" i="1"/>
  <c r="H3" i="1"/>
  <c r="D3" i="1"/>
  <c r="I2" i="1"/>
  <c r="H2" i="1"/>
  <c r="D2" i="1"/>
  <c r="O16" i="1" l="1"/>
  <c r="N16" i="1"/>
  <c r="P16" i="1" s="1"/>
  <c r="N6" i="1"/>
  <c r="P6" i="1" s="1"/>
  <c r="O6" i="1"/>
  <c r="H18" i="1"/>
  <c r="I7" i="1"/>
  <c r="I4" i="1"/>
  <c r="H15" i="1"/>
  <c r="I11" i="1"/>
  <c r="H9" i="1"/>
  <c r="H14" i="1"/>
  <c r="I15" i="1"/>
  <c r="H11" i="1"/>
  <c r="I8" i="1"/>
  <c r="H8" i="1"/>
  <c r="I12" i="1"/>
  <c r="H22" i="1"/>
  <c r="H17" i="1"/>
  <c r="I22" i="1"/>
  <c r="H10" i="1"/>
  <c r="H13" i="1"/>
  <c r="I3" i="1"/>
  <c r="I10" i="1"/>
  <c r="I13" i="1"/>
  <c r="H7" i="1"/>
  <c r="I9" i="1"/>
  <c r="I18" i="1"/>
  <c r="H12" i="1"/>
  <c r="I5" i="1"/>
  <c r="H19" i="1"/>
  <c r="I19" i="1"/>
  <c r="H23" i="1"/>
  <c r="I17" i="1"/>
  <c r="H20" i="1"/>
  <c r="I23" i="1"/>
  <c r="I20" i="1"/>
  <c r="I14" i="1"/>
  <c r="N22" i="1" l="1"/>
  <c r="P22" i="1" s="1"/>
  <c r="O22" i="1"/>
  <c r="N21" i="1"/>
  <c r="O21" i="1"/>
  <c r="O23" i="1"/>
  <c r="N23" i="1"/>
  <c r="N20" i="1"/>
  <c r="O20" i="1"/>
  <c r="N18" i="1"/>
  <c r="P18" i="1" s="1"/>
  <c r="O18" i="1"/>
  <c r="O15" i="1"/>
  <c r="N15" i="1"/>
  <c r="O17" i="1"/>
  <c r="N17" i="1"/>
  <c r="N10" i="1"/>
  <c r="O10" i="1"/>
  <c r="N7" i="1"/>
  <c r="P7" i="1" s="1"/>
  <c r="O7" i="1"/>
  <c r="O5" i="1"/>
  <c r="N5" i="1"/>
  <c r="P5" i="1" s="1"/>
  <c r="O4" i="1"/>
  <c r="N4" i="1"/>
  <c r="P4" i="1" s="1"/>
  <c r="O3" i="1"/>
  <c r="N3" i="1"/>
  <c r="P3" i="1" s="1"/>
  <c r="O2" i="1"/>
  <c r="N2" i="1"/>
  <c r="P10" i="1" l="1"/>
  <c r="P21" i="1"/>
  <c r="P23" i="1"/>
  <c r="P20" i="1"/>
  <c r="P17" i="1"/>
  <c r="P15" i="1"/>
  <c r="N19" i="1"/>
  <c r="O19" i="1"/>
  <c r="N14" i="1"/>
  <c r="O14" i="1"/>
  <c r="O8" i="1"/>
  <c r="N8" i="1"/>
  <c r="N11" i="1"/>
  <c r="O11" i="1"/>
  <c r="O13" i="1"/>
  <c r="N13" i="1"/>
  <c r="N9" i="1"/>
  <c r="O9" i="1"/>
  <c r="N12" i="1"/>
  <c r="O12" i="1"/>
  <c r="O25" i="1"/>
  <c r="P2" i="1"/>
  <c r="P9" i="1" l="1"/>
  <c r="P13" i="1"/>
  <c r="P14" i="1"/>
  <c r="P12" i="1"/>
  <c r="P8" i="1"/>
  <c r="P19" i="1"/>
  <c r="P11" i="1"/>
  <c r="P25" i="1"/>
  <c r="N25" i="1"/>
</calcChain>
</file>

<file path=xl/sharedStrings.xml><?xml version="1.0" encoding="utf-8"?>
<sst xmlns="http://schemas.openxmlformats.org/spreadsheetml/2006/main" count="121" uniqueCount="78">
  <si>
    <t>pop_id</t>
  </si>
  <si>
    <t>pop_name</t>
  </si>
  <si>
    <t>location</t>
  </si>
  <si>
    <t>ei</t>
  </si>
  <si>
    <t>cre_line</t>
  </si>
  <si>
    <t>reporter_status</t>
  </si>
  <si>
    <t>me_type</t>
  </si>
  <si>
    <t>upper_bound</t>
  </si>
  <si>
    <t>lower_bound</t>
  </si>
  <si>
    <t>Relative fraction within ei</t>
  </si>
  <si>
    <t>inhibitory fraction</t>
  </si>
  <si>
    <t>pop_core_count</t>
  </si>
  <si>
    <t>pop_peripheral_count</t>
  </si>
  <si>
    <t>pop_combined_count</t>
  </si>
  <si>
    <t>nsyn_lognorm_shape</t>
  </si>
  <si>
    <t>nsyn_lognorm_scale</t>
  </si>
  <si>
    <t>i1Htr3a</t>
  </si>
  <si>
    <t>VisL1</t>
  </si>
  <si>
    <t>Htr3a</t>
  </si>
  <si>
    <t>positive</t>
  </si>
  <si>
    <t>e23Cux2</t>
  </si>
  <si>
    <t>VisL2/3</t>
  </si>
  <si>
    <t>Cux2</t>
  </si>
  <si>
    <t>i23Vip</t>
  </si>
  <si>
    <t>Vip-</t>
  </si>
  <si>
    <t>i23Pvalb</t>
  </si>
  <si>
    <t>Pvalb-IRES</t>
  </si>
  <si>
    <t>i23Sst</t>
  </si>
  <si>
    <t>Sst</t>
  </si>
  <si>
    <t>e4Nr5a1</t>
  </si>
  <si>
    <t>VisL4</t>
  </si>
  <si>
    <t>Nr5a1</t>
  </si>
  <si>
    <t>e4Rorb</t>
  </si>
  <si>
    <t>Rorb</t>
  </si>
  <si>
    <t>e4Scnn1a</t>
  </si>
  <si>
    <t>Scnn1a</t>
  </si>
  <si>
    <t>e4other</t>
  </si>
  <si>
    <t>Nr5a1,Rorb,Scnn1a</t>
  </si>
  <si>
    <t>negative</t>
  </si>
  <si>
    <t>i4Vip</t>
  </si>
  <si>
    <t>i4Pvalb</t>
  </si>
  <si>
    <t>i4Sst</t>
  </si>
  <si>
    <t>e5IT</t>
  </si>
  <si>
    <t>VisL5</t>
  </si>
  <si>
    <t>ME_Exc_5,ME_Exc_13</t>
  </si>
  <si>
    <t>e5ET</t>
  </si>
  <si>
    <t>ME_Exc_1</t>
  </si>
  <si>
    <t>e5NP</t>
  </si>
  <si>
    <t>Exc_3</t>
  </si>
  <si>
    <t>i5Vip</t>
  </si>
  <si>
    <t>i5Pvalb</t>
  </si>
  <si>
    <t>i5Sst</t>
  </si>
  <si>
    <t>e6Ntsr1</t>
  </si>
  <si>
    <t>VisL6a</t>
  </si>
  <si>
    <t>Ntsr1</t>
  </si>
  <si>
    <t>i6Vip</t>
  </si>
  <si>
    <t>i6Pvalb</t>
  </si>
  <si>
    <t>i6Sst</t>
  </si>
  <si>
    <t>Layer</t>
  </si>
  <si>
    <t>Layer thicknesses</t>
  </si>
  <si>
    <t>Layer boundaries</t>
  </si>
  <si>
    <t>Domain</t>
  </si>
  <si>
    <t>core</t>
  </si>
  <si>
    <t>peripheral</t>
  </si>
  <si>
    <t>neuropil</t>
  </si>
  <si>
    <t>radius (mm)</t>
  </si>
  <si>
    <t>L1</t>
  </si>
  <si>
    <t>area (mm^2)</t>
  </si>
  <si>
    <t>L23</t>
  </si>
  <si>
    <t>L4</t>
  </si>
  <si>
    <t>L5</t>
  </si>
  <si>
    <t>L6</t>
  </si>
  <si>
    <t>Cells found in EM</t>
  </si>
  <si>
    <t>Density (#/mm^3)</t>
  </si>
  <si>
    <t>Areal density (#/mm^2)</t>
  </si>
  <si>
    <t>Areal Density (#/mm^2)</t>
  </si>
  <si>
    <t>Layer areal density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</si>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</sst>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6" formatCode="0.0"/>
  </numFmts>
  <fonts count="1" x14ac:knownFonts="1"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/>
    <xf numFmtId="166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8"/>
  <sheetViews>
    <sheetView tabSelected="1" zoomScaleNormal="100" workbookViewId="0">
      <selection activeCell="N29" sqref="N29"/>
    </sheetView>
  </sheetViews>
  <sheetFormatPr baseColWidth="10" defaultColWidth="10.5" defaultRowHeight="16" x14ac:dyDescent="0.2"/>
  <cols>
    <col min="1" max="1" width="7.33203125" customWidth="1"/>
    <col min="2" max="2" width="12.83203125" customWidth="1"/>
    <col min="3" max="3" width="16" customWidth="1"/>
    <col min="4" max="4" width="16.83203125" customWidth="1"/>
    <col min="5" max="5" width="16.5" customWidth="1"/>
    <col min="6" max="7" width="14.6640625" customWidth="1"/>
    <col min="8" max="8" width="12.33203125" customWidth="1"/>
    <col min="9" max="9" width="13.5" customWidth="1"/>
    <col min="10" max="10" width="17.1640625" customWidth="1"/>
    <col min="11" max="11" width="16.33203125" customWidth="1"/>
    <col min="12" max="12" width="19.33203125" customWidth="1"/>
    <col min="13" max="13" width="16.6640625" customWidth="1"/>
    <col min="14" max="14" width="21.5" customWidth="1"/>
    <col min="15" max="15" width="19.1640625" customWidth="1"/>
    <col min="16" max="16" width="19.5" customWidth="1"/>
    <col min="17" max="17" width="12.33203125" customWidth="1"/>
    <col min="18" max="18" width="13.164062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76</v>
      </c>
      <c r="K1" t="s">
        <v>10</v>
      </c>
      <c r="L1" t="s">
        <v>9</v>
      </c>
      <c r="M1" t="s">
        <v>74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2">
      <c r="A2">
        <v>0</v>
      </c>
      <c r="B2" t="s">
        <v>16</v>
      </c>
      <c r="C2" t="s">
        <v>17</v>
      </c>
      <c r="D2" t="str">
        <f t="shared" ref="D2:D23" si="0">LEFT(B2, 1)</f>
        <v>i</v>
      </c>
      <c r="E2" t="s">
        <v>18</v>
      </c>
      <c r="F2" t="s">
        <v>19</v>
      </c>
      <c r="H2">
        <f>$C$37</f>
        <v>50</v>
      </c>
      <c r="I2">
        <f>$C$38</f>
        <v>169</v>
      </c>
      <c r="J2" s="5">
        <f>$F$38</f>
        <v>1200</v>
      </c>
      <c r="K2">
        <v>1</v>
      </c>
      <c r="L2">
        <v>1</v>
      </c>
      <c r="M2" s="4">
        <f>J2*L2*IF(EXACT(D2,"i"), K2, 1-K2)</f>
        <v>1200</v>
      </c>
      <c r="N2" s="5">
        <f>ROUND(M2*$B$48, 0)</f>
        <v>603</v>
      </c>
      <c r="O2">
        <f>ROUND(M2*$C$48, 0)</f>
        <v>1244</v>
      </c>
      <c r="P2" s="5">
        <f>SUM(N2:O2)</f>
        <v>1847</v>
      </c>
      <c r="Q2">
        <v>0.85599999999999998</v>
      </c>
      <c r="R2">
        <v>2808.6819999999998</v>
      </c>
    </row>
    <row r="3" spans="1:18" x14ac:dyDescent="0.2">
      <c r="A3">
        <v>1</v>
      </c>
      <c r="B3" t="s">
        <v>20</v>
      </c>
      <c r="C3" t="s">
        <v>21</v>
      </c>
      <c r="D3" t="str">
        <f t="shared" si="0"/>
        <v>e</v>
      </c>
      <c r="E3" t="s">
        <v>22</v>
      </c>
      <c r="F3" t="s">
        <v>19</v>
      </c>
      <c r="H3">
        <f>$C$38</f>
        <v>169</v>
      </c>
      <c r="I3">
        <f>$C$39</f>
        <v>357</v>
      </c>
      <c r="J3" s="5">
        <f>$F$39</f>
        <v>37099.999999999993</v>
      </c>
      <c r="K3">
        <v>0.1</v>
      </c>
      <c r="L3">
        <v>1</v>
      </c>
      <c r="M3" s="4">
        <f t="shared" ref="M3:M23" si="1">J3*L3*IF(EXACT(D3,"i"), K3, 1-K3)</f>
        <v>33389.999999999993</v>
      </c>
      <c r="N3" s="5">
        <f t="shared" ref="N3:N23" si="2">ROUND(M3*$B$48, 0)</f>
        <v>16784</v>
      </c>
      <c r="O3">
        <f t="shared" ref="O3:O23" si="3">ROUND(M3*$C$48, 0)</f>
        <v>34616</v>
      </c>
      <c r="P3" s="5">
        <f t="shared" ref="P3:P23" si="4">SUM(N3:O3)</f>
        <v>51400</v>
      </c>
      <c r="Q3">
        <v>0.36299999999999999</v>
      </c>
      <c r="R3">
        <v>3815.6819999999998</v>
      </c>
    </row>
    <row r="4" spans="1:18" x14ac:dyDescent="0.2">
      <c r="A4">
        <v>2</v>
      </c>
      <c r="B4" t="s">
        <v>23</v>
      </c>
      <c r="C4" t="s">
        <v>21</v>
      </c>
      <c r="D4" t="str">
        <f t="shared" si="0"/>
        <v>i</v>
      </c>
      <c r="E4" t="s">
        <v>24</v>
      </c>
      <c r="F4" t="s">
        <v>19</v>
      </c>
      <c r="H4">
        <f>$C$38</f>
        <v>169</v>
      </c>
      <c r="I4">
        <f>$C$39</f>
        <v>357</v>
      </c>
      <c r="J4" s="5">
        <f t="shared" ref="J4:J6" si="5">$F$39</f>
        <v>37099.999999999993</v>
      </c>
      <c r="K4">
        <v>0.1</v>
      </c>
      <c r="L4">
        <f>48/98</f>
        <v>0.48979591836734693</v>
      </c>
      <c r="M4" s="4">
        <f t="shared" si="1"/>
        <v>1817.1428571428569</v>
      </c>
      <c r="N4" s="5">
        <f t="shared" si="2"/>
        <v>913</v>
      </c>
      <c r="O4">
        <f t="shared" si="3"/>
        <v>1884</v>
      </c>
      <c r="P4" s="5">
        <f t="shared" si="4"/>
        <v>2797</v>
      </c>
      <c r="Q4">
        <v>0.53700000000000003</v>
      </c>
      <c r="R4">
        <v>2355.279</v>
      </c>
    </row>
    <row r="5" spans="1:18" x14ac:dyDescent="0.2">
      <c r="A5">
        <v>3</v>
      </c>
      <c r="B5" t="s">
        <v>25</v>
      </c>
      <c r="C5" t="s">
        <v>21</v>
      </c>
      <c r="D5" t="str">
        <f t="shared" si="0"/>
        <v>i</v>
      </c>
      <c r="E5" t="s">
        <v>26</v>
      </c>
      <c r="F5" t="s">
        <v>19</v>
      </c>
      <c r="H5">
        <f>$C$38</f>
        <v>169</v>
      </c>
      <c r="I5">
        <f>$C$39</f>
        <v>357</v>
      </c>
      <c r="J5" s="5">
        <f t="shared" si="5"/>
        <v>37099.999999999993</v>
      </c>
      <c r="K5">
        <v>0.1</v>
      </c>
      <c r="L5">
        <f>29/98</f>
        <v>0.29591836734693877</v>
      </c>
      <c r="M5" s="4">
        <f t="shared" si="1"/>
        <v>1097.8571428571427</v>
      </c>
      <c r="N5" s="5">
        <f t="shared" si="2"/>
        <v>552</v>
      </c>
      <c r="O5">
        <f t="shared" si="3"/>
        <v>1138</v>
      </c>
      <c r="P5" s="5">
        <f t="shared" si="4"/>
        <v>1690</v>
      </c>
      <c r="Q5">
        <v>0.433</v>
      </c>
      <c r="R5">
        <v>7432.5870000000004</v>
      </c>
    </row>
    <row r="6" spans="1:18" x14ac:dyDescent="0.2">
      <c r="A6">
        <v>4</v>
      </c>
      <c r="B6" t="s">
        <v>27</v>
      </c>
      <c r="C6" t="s">
        <v>21</v>
      </c>
      <c r="D6" t="str">
        <f t="shared" si="0"/>
        <v>i</v>
      </c>
      <c r="E6" t="s">
        <v>28</v>
      </c>
      <c r="F6" t="s">
        <v>19</v>
      </c>
      <c r="H6">
        <f>$C$38</f>
        <v>169</v>
      </c>
      <c r="I6">
        <f>$C$39</f>
        <v>357</v>
      </c>
      <c r="J6" s="5">
        <f t="shared" si="5"/>
        <v>37099.999999999993</v>
      </c>
      <c r="K6">
        <v>0.1</v>
      </c>
      <c r="L6">
        <f>21/98</f>
        <v>0.21428571428571427</v>
      </c>
      <c r="M6" s="4">
        <f t="shared" si="1"/>
        <v>794.99999999999989</v>
      </c>
      <c r="N6" s="5">
        <f t="shared" si="2"/>
        <v>400</v>
      </c>
      <c r="O6">
        <f t="shared" si="3"/>
        <v>824</v>
      </c>
      <c r="P6" s="5">
        <f t="shared" si="4"/>
        <v>1224</v>
      </c>
      <c r="Q6">
        <v>0.55000000000000004</v>
      </c>
      <c r="R6">
        <v>5305.1509999999998</v>
      </c>
    </row>
    <row r="7" spans="1:18" x14ac:dyDescent="0.2">
      <c r="A7">
        <v>5</v>
      </c>
      <c r="B7" t="s">
        <v>29</v>
      </c>
      <c r="C7" t="s">
        <v>30</v>
      </c>
      <c r="D7" t="str">
        <f t="shared" si="0"/>
        <v>e</v>
      </c>
      <c r="E7" t="s">
        <v>31</v>
      </c>
      <c r="F7" t="s">
        <v>19</v>
      </c>
      <c r="H7">
        <f t="shared" ref="H7:H13" si="6">$C$39</f>
        <v>357</v>
      </c>
      <c r="I7">
        <f>$C$40</f>
        <v>505</v>
      </c>
      <c r="J7" s="5">
        <f>$F$40</f>
        <v>38899.999999999993</v>
      </c>
      <c r="K7">
        <v>0.11</v>
      </c>
      <c r="L7">
        <v>0.12</v>
      </c>
      <c r="M7" s="4">
        <f t="shared" si="1"/>
        <v>4154.5199999999995</v>
      </c>
      <c r="N7" s="5">
        <f t="shared" si="2"/>
        <v>2088</v>
      </c>
      <c r="O7">
        <f t="shared" si="3"/>
        <v>4307</v>
      </c>
      <c r="P7" s="5">
        <f t="shared" si="4"/>
        <v>6395</v>
      </c>
      <c r="Q7">
        <v>0.34499999999999997</v>
      </c>
      <c r="R7">
        <v>2188.7649999999999</v>
      </c>
    </row>
    <row r="8" spans="1:18" x14ac:dyDescent="0.2">
      <c r="A8">
        <v>6</v>
      </c>
      <c r="B8" t="s">
        <v>32</v>
      </c>
      <c r="C8" t="s">
        <v>30</v>
      </c>
      <c r="D8" t="str">
        <f t="shared" si="0"/>
        <v>e</v>
      </c>
      <c r="E8" t="s">
        <v>33</v>
      </c>
      <c r="F8" t="s">
        <v>19</v>
      </c>
      <c r="H8">
        <f t="shared" si="6"/>
        <v>357</v>
      </c>
      <c r="I8">
        <f t="shared" ref="I8:I13" si="7">$C$40</f>
        <v>505</v>
      </c>
      <c r="J8" s="5">
        <f t="shared" ref="J8:J13" si="8">$F$40</f>
        <v>38899.999999999993</v>
      </c>
      <c r="K8">
        <v>0.11</v>
      </c>
      <c r="L8">
        <v>0.26</v>
      </c>
      <c r="M8" s="4">
        <f t="shared" si="1"/>
        <v>9001.4599999999991</v>
      </c>
      <c r="N8" s="5">
        <f t="shared" si="2"/>
        <v>4525</v>
      </c>
      <c r="O8">
        <f t="shared" si="3"/>
        <v>9332</v>
      </c>
      <c r="P8" s="5">
        <f t="shared" si="4"/>
        <v>13857</v>
      </c>
      <c r="Q8">
        <v>0.34499999999999997</v>
      </c>
      <c r="R8">
        <v>2188.7649999999999</v>
      </c>
    </row>
    <row r="9" spans="1:18" x14ac:dyDescent="0.2">
      <c r="A9">
        <v>7</v>
      </c>
      <c r="B9" t="s">
        <v>34</v>
      </c>
      <c r="C9" t="s">
        <v>30</v>
      </c>
      <c r="D9" t="str">
        <f t="shared" si="0"/>
        <v>e</v>
      </c>
      <c r="E9" t="s">
        <v>35</v>
      </c>
      <c r="F9" t="s">
        <v>19</v>
      </c>
      <c r="H9">
        <f t="shared" si="6"/>
        <v>357</v>
      </c>
      <c r="I9">
        <f t="shared" si="7"/>
        <v>505</v>
      </c>
      <c r="J9" s="5">
        <f t="shared" si="8"/>
        <v>38899.999999999993</v>
      </c>
      <c r="K9">
        <v>0.11</v>
      </c>
      <c r="L9">
        <v>0.3</v>
      </c>
      <c r="M9" s="4">
        <f t="shared" si="1"/>
        <v>10386.299999999999</v>
      </c>
      <c r="N9" s="5">
        <f t="shared" si="2"/>
        <v>5221</v>
      </c>
      <c r="O9">
        <f t="shared" si="3"/>
        <v>10768</v>
      </c>
      <c r="P9" s="5">
        <f t="shared" si="4"/>
        <v>15989</v>
      </c>
      <c r="Q9">
        <v>0.34499999999999997</v>
      </c>
      <c r="R9">
        <v>2188.7649999999999</v>
      </c>
    </row>
    <row r="10" spans="1:18" x14ac:dyDescent="0.2">
      <c r="A10">
        <v>8</v>
      </c>
      <c r="B10" t="s">
        <v>36</v>
      </c>
      <c r="C10" t="s">
        <v>30</v>
      </c>
      <c r="D10" t="str">
        <f t="shared" si="0"/>
        <v>e</v>
      </c>
      <c r="E10" t="s">
        <v>37</v>
      </c>
      <c r="F10" t="s">
        <v>38</v>
      </c>
      <c r="H10">
        <f t="shared" si="6"/>
        <v>357</v>
      </c>
      <c r="I10">
        <f t="shared" si="7"/>
        <v>505</v>
      </c>
      <c r="J10" s="5">
        <f t="shared" si="8"/>
        <v>38899.999999999993</v>
      </c>
      <c r="K10">
        <v>0.11</v>
      </c>
      <c r="L10">
        <f>1-SUM($L7:$L9)</f>
        <v>0.32000000000000006</v>
      </c>
      <c r="M10" s="4">
        <f t="shared" si="1"/>
        <v>11078.72</v>
      </c>
      <c r="N10" s="5">
        <f t="shared" si="2"/>
        <v>5569</v>
      </c>
      <c r="O10">
        <f t="shared" si="3"/>
        <v>11486</v>
      </c>
      <c r="P10" s="5">
        <f t="shared" si="4"/>
        <v>17055</v>
      </c>
      <c r="Q10">
        <v>0.34499999999999997</v>
      </c>
      <c r="R10">
        <v>2188.7649999999999</v>
      </c>
    </row>
    <row r="11" spans="1:18" x14ac:dyDescent="0.2">
      <c r="A11">
        <v>9</v>
      </c>
      <c r="B11" t="s">
        <v>39</v>
      </c>
      <c r="C11" t="s">
        <v>30</v>
      </c>
      <c r="D11" t="str">
        <f t="shared" si="0"/>
        <v>i</v>
      </c>
      <c r="E11" t="s">
        <v>24</v>
      </c>
      <c r="F11" t="s">
        <v>19</v>
      </c>
      <c r="H11">
        <f t="shared" si="6"/>
        <v>357</v>
      </c>
      <c r="I11">
        <f t="shared" si="7"/>
        <v>505</v>
      </c>
      <c r="J11" s="5">
        <f t="shared" si="8"/>
        <v>38899.999999999993</v>
      </c>
      <c r="K11">
        <v>0.11</v>
      </c>
      <c r="L11">
        <f>16/105</f>
        <v>0.15238095238095239</v>
      </c>
      <c r="M11" s="4">
        <f t="shared" si="1"/>
        <v>652.03809523809514</v>
      </c>
      <c r="N11" s="5">
        <f t="shared" si="2"/>
        <v>328</v>
      </c>
      <c r="O11">
        <f t="shared" si="3"/>
        <v>676</v>
      </c>
      <c r="P11" s="5">
        <f t="shared" si="4"/>
        <v>1004</v>
      </c>
      <c r="Q11">
        <v>0.53700000000000003</v>
      </c>
      <c r="R11">
        <v>2355.279</v>
      </c>
    </row>
    <row r="12" spans="1:18" x14ac:dyDescent="0.2">
      <c r="A12">
        <v>10</v>
      </c>
      <c r="B12" t="s">
        <v>40</v>
      </c>
      <c r="C12" t="s">
        <v>30</v>
      </c>
      <c r="D12" t="str">
        <f t="shared" si="0"/>
        <v>i</v>
      </c>
      <c r="E12" t="s">
        <v>26</v>
      </c>
      <c r="F12" t="s">
        <v>19</v>
      </c>
      <c r="H12">
        <f t="shared" si="6"/>
        <v>357</v>
      </c>
      <c r="I12">
        <f t="shared" si="7"/>
        <v>505</v>
      </c>
      <c r="J12" s="5">
        <f t="shared" si="8"/>
        <v>38899.999999999993</v>
      </c>
      <c r="K12">
        <v>0.11</v>
      </c>
      <c r="L12">
        <f>58/105</f>
        <v>0.55238095238095242</v>
      </c>
      <c r="M12" s="4">
        <f t="shared" si="1"/>
        <v>2363.638095238095</v>
      </c>
      <c r="N12" s="5">
        <f t="shared" si="2"/>
        <v>1188</v>
      </c>
      <c r="O12">
        <f t="shared" si="3"/>
        <v>2450</v>
      </c>
      <c r="P12" s="5">
        <f t="shared" si="4"/>
        <v>3638</v>
      </c>
      <c r="Q12">
        <v>0.433</v>
      </c>
      <c r="R12">
        <v>7432.5870000000004</v>
      </c>
    </row>
    <row r="13" spans="1:18" x14ac:dyDescent="0.2">
      <c r="A13">
        <v>11</v>
      </c>
      <c r="B13" t="s">
        <v>41</v>
      </c>
      <c r="C13" t="s">
        <v>30</v>
      </c>
      <c r="D13" t="str">
        <f t="shared" si="0"/>
        <v>i</v>
      </c>
      <c r="E13" t="s">
        <v>28</v>
      </c>
      <c r="F13" t="s">
        <v>19</v>
      </c>
      <c r="H13">
        <f t="shared" si="6"/>
        <v>357</v>
      </c>
      <c r="I13">
        <f t="shared" si="7"/>
        <v>505</v>
      </c>
      <c r="J13" s="5">
        <f t="shared" si="8"/>
        <v>38899.999999999993</v>
      </c>
      <c r="K13">
        <v>0.11</v>
      </c>
      <c r="L13">
        <f>31/105</f>
        <v>0.29523809523809524</v>
      </c>
      <c r="M13" s="4">
        <f t="shared" si="1"/>
        <v>1263.3238095238094</v>
      </c>
      <c r="N13" s="5">
        <f t="shared" si="2"/>
        <v>635</v>
      </c>
      <c r="O13">
        <f t="shared" si="3"/>
        <v>1310</v>
      </c>
      <c r="P13" s="5">
        <f t="shared" si="4"/>
        <v>1945</v>
      </c>
      <c r="Q13">
        <v>0.55000000000000004</v>
      </c>
      <c r="R13">
        <v>5305.1509999999998</v>
      </c>
    </row>
    <row r="14" spans="1:18" x14ac:dyDescent="0.2">
      <c r="A14">
        <v>12</v>
      </c>
      <c r="B14" t="s">
        <v>42</v>
      </c>
      <c r="C14" t="s">
        <v>43</v>
      </c>
      <c r="D14" t="str">
        <f t="shared" si="0"/>
        <v>e</v>
      </c>
      <c r="G14" t="s">
        <v>44</v>
      </c>
      <c r="H14">
        <f>$C$40</f>
        <v>505</v>
      </c>
      <c r="I14">
        <f>$C$41</f>
        <v>665</v>
      </c>
      <c r="J14" s="5">
        <f>$F$41</f>
        <v>23000</v>
      </c>
      <c r="K14">
        <v>0.19</v>
      </c>
      <c r="L14">
        <v>0.7</v>
      </c>
      <c r="M14" s="4">
        <f t="shared" si="1"/>
        <v>13041</v>
      </c>
      <c r="N14" s="5">
        <f t="shared" si="2"/>
        <v>6555</v>
      </c>
      <c r="O14">
        <f t="shared" si="3"/>
        <v>13520</v>
      </c>
      <c r="P14" s="5">
        <f t="shared" si="4"/>
        <v>20075</v>
      </c>
      <c r="Q14">
        <v>0.33100000000000002</v>
      </c>
      <c r="R14">
        <v>2552.0720000000001</v>
      </c>
    </row>
    <row r="15" spans="1:18" x14ac:dyDescent="0.2">
      <c r="A15">
        <v>13</v>
      </c>
      <c r="B15" t="s">
        <v>45</v>
      </c>
      <c r="C15" t="s">
        <v>43</v>
      </c>
      <c r="D15" t="str">
        <f t="shared" si="0"/>
        <v>e</v>
      </c>
      <c r="G15" t="s">
        <v>46</v>
      </c>
      <c r="H15">
        <f>$C$40</f>
        <v>505</v>
      </c>
      <c r="I15">
        <f>$C$41</f>
        <v>665</v>
      </c>
      <c r="J15" s="5">
        <f t="shared" ref="J15:J19" si="9">$F$41</f>
        <v>23000</v>
      </c>
      <c r="K15">
        <v>0.19</v>
      </c>
      <c r="L15">
        <v>0.26</v>
      </c>
      <c r="M15" s="4">
        <f t="shared" si="1"/>
        <v>4843.8</v>
      </c>
      <c r="N15" s="5">
        <f t="shared" si="2"/>
        <v>2435</v>
      </c>
      <c r="O15">
        <f t="shared" si="3"/>
        <v>5022</v>
      </c>
      <c r="P15" s="5">
        <f t="shared" si="4"/>
        <v>7457</v>
      </c>
      <c r="Q15">
        <v>0.42399999999999999</v>
      </c>
      <c r="R15">
        <v>7406.5460000000003</v>
      </c>
    </row>
    <row r="16" spans="1:18" x14ac:dyDescent="0.2">
      <c r="A16">
        <v>14</v>
      </c>
      <c r="B16" t="s">
        <v>47</v>
      </c>
      <c r="C16" t="s">
        <v>43</v>
      </c>
      <c r="D16" t="str">
        <f t="shared" si="0"/>
        <v>e</v>
      </c>
      <c r="G16" t="s">
        <v>48</v>
      </c>
      <c r="H16">
        <v>505</v>
      </c>
      <c r="I16">
        <v>665</v>
      </c>
      <c r="J16" s="5">
        <f t="shared" si="9"/>
        <v>23000</v>
      </c>
      <c r="K16">
        <v>0.19</v>
      </c>
      <c r="L16">
        <v>0.04</v>
      </c>
      <c r="M16" s="4">
        <f t="shared" si="1"/>
        <v>745.2</v>
      </c>
      <c r="N16" s="5">
        <f t="shared" si="2"/>
        <v>375</v>
      </c>
      <c r="O16">
        <f t="shared" si="3"/>
        <v>773</v>
      </c>
      <c r="P16" s="5">
        <f t="shared" si="4"/>
        <v>1148</v>
      </c>
      <c r="Q16">
        <v>1.3759999999999999</v>
      </c>
      <c r="R16">
        <v>679.745</v>
      </c>
    </row>
    <row r="17" spans="1:18" x14ac:dyDescent="0.2">
      <c r="A17">
        <v>14</v>
      </c>
      <c r="B17" t="s">
        <v>49</v>
      </c>
      <c r="C17" t="s">
        <v>43</v>
      </c>
      <c r="D17" t="str">
        <f t="shared" si="0"/>
        <v>i</v>
      </c>
      <c r="E17" t="s">
        <v>24</v>
      </c>
      <c r="F17" t="s">
        <v>19</v>
      </c>
      <c r="H17">
        <f>$C$40</f>
        <v>505</v>
      </c>
      <c r="I17">
        <f>$C$41</f>
        <v>665</v>
      </c>
      <c r="J17" s="5">
        <f t="shared" si="9"/>
        <v>23000</v>
      </c>
      <c r="K17">
        <v>0.19</v>
      </c>
      <c r="L17">
        <f>9/105</f>
        <v>8.5714285714285715E-2</v>
      </c>
      <c r="M17" s="4">
        <f t="shared" si="1"/>
        <v>374.57142857142861</v>
      </c>
      <c r="N17" s="5">
        <f t="shared" si="2"/>
        <v>188</v>
      </c>
      <c r="O17">
        <f t="shared" si="3"/>
        <v>388</v>
      </c>
      <c r="P17" s="5">
        <f t="shared" si="4"/>
        <v>576</v>
      </c>
      <c r="Q17">
        <v>0.53700000000000003</v>
      </c>
      <c r="R17">
        <v>2355.279</v>
      </c>
    </row>
    <row r="18" spans="1:18" x14ac:dyDescent="0.2">
      <c r="A18">
        <v>15</v>
      </c>
      <c r="B18" t="s">
        <v>50</v>
      </c>
      <c r="C18" t="s">
        <v>43</v>
      </c>
      <c r="D18" t="str">
        <f t="shared" si="0"/>
        <v>i</v>
      </c>
      <c r="E18" t="s">
        <v>26</v>
      </c>
      <c r="F18" t="s">
        <v>19</v>
      </c>
      <c r="H18">
        <f>$C$40</f>
        <v>505</v>
      </c>
      <c r="I18">
        <f>$C$41</f>
        <v>665</v>
      </c>
      <c r="J18" s="5">
        <f t="shared" si="9"/>
        <v>23000</v>
      </c>
      <c r="K18">
        <v>0.19</v>
      </c>
      <c r="L18">
        <f>51/105</f>
        <v>0.48571428571428571</v>
      </c>
      <c r="M18" s="4">
        <f t="shared" si="1"/>
        <v>2122.5714285714284</v>
      </c>
      <c r="N18" s="5">
        <f t="shared" si="2"/>
        <v>1067</v>
      </c>
      <c r="O18">
        <f t="shared" si="3"/>
        <v>2201</v>
      </c>
      <c r="P18" s="5">
        <f t="shared" si="4"/>
        <v>3268</v>
      </c>
      <c r="Q18">
        <v>0.433</v>
      </c>
      <c r="R18">
        <v>7432.5870000000004</v>
      </c>
    </row>
    <row r="19" spans="1:18" x14ac:dyDescent="0.2">
      <c r="A19">
        <v>16</v>
      </c>
      <c r="B19" t="s">
        <v>51</v>
      </c>
      <c r="C19" t="s">
        <v>43</v>
      </c>
      <c r="D19" t="str">
        <f t="shared" si="0"/>
        <v>i</v>
      </c>
      <c r="E19" t="s">
        <v>28</v>
      </c>
      <c r="F19" t="s">
        <v>19</v>
      </c>
      <c r="H19">
        <f>$C$40</f>
        <v>505</v>
      </c>
      <c r="I19">
        <f>$C$41</f>
        <v>665</v>
      </c>
      <c r="J19" s="5">
        <f t="shared" si="9"/>
        <v>23000</v>
      </c>
      <c r="K19">
        <v>0.19</v>
      </c>
      <c r="L19">
        <f>45/105</f>
        <v>0.42857142857142855</v>
      </c>
      <c r="M19" s="4">
        <f t="shared" si="1"/>
        <v>1872.8571428571429</v>
      </c>
      <c r="N19" s="5">
        <f t="shared" si="2"/>
        <v>941</v>
      </c>
      <c r="O19">
        <f t="shared" si="3"/>
        <v>1942</v>
      </c>
      <c r="P19" s="5">
        <f t="shared" si="4"/>
        <v>2883</v>
      </c>
      <c r="Q19">
        <v>0.55000000000000004</v>
      </c>
      <c r="R19">
        <v>5305.1509999999998</v>
      </c>
    </row>
    <row r="20" spans="1:18" x14ac:dyDescent="0.2">
      <c r="A20">
        <v>17</v>
      </c>
      <c r="B20" t="s">
        <v>52</v>
      </c>
      <c r="C20" t="s">
        <v>53</v>
      </c>
      <c r="D20" t="str">
        <f t="shared" si="0"/>
        <v>e</v>
      </c>
      <c r="E20" t="s">
        <v>54</v>
      </c>
      <c r="F20" t="s">
        <v>19</v>
      </c>
      <c r="H20">
        <f>$C$41</f>
        <v>665</v>
      </c>
      <c r="I20">
        <f>$C$42</f>
        <v>829</v>
      </c>
      <c r="J20" s="5">
        <f>$F$42</f>
        <v>32200.000000000004</v>
      </c>
      <c r="K20">
        <v>7.0000000000000007E-2</v>
      </c>
      <c r="L20">
        <v>1</v>
      </c>
      <c r="M20" s="4">
        <f t="shared" si="1"/>
        <v>29946</v>
      </c>
      <c r="N20" s="5">
        <f t="shared" si="2"/>
        <v>15053</v>
      </c>
      <c r="O20">
        <f t="shared" si="3"/>
        <v>31046</v>
      </c>
      <c r="P20" s="5">
        <f t="shared" si="4"/>
        <v>46099</v>
      </c>
      <c r="Q20">
        <v>0.24099999999999999</v>
      </c>
      <c r="R20">
        <v>2292.098</v>
      </c>
    </row>
    <row r="21" spans="1:18" x14ac:dyDescent="0.2">
      <c r="A21">
        <v>18</v>
      </c>
      <c r="B21" t="s">
        <v>55</v>
      </c>
      <c r="C21" t="s">
        <v>53</v>
      </c>
      <c r="D21" t="str">
        <f t="shared" si="0"/>
        <v>i</v>
      </c>
      <c r="E21" t="s">
        <v>24</v>
      </c>
      <c r="F21" t="s">
        <v>19</v>
      </c>
      <c r="H21">
        <f>$C$41</f>
        <v>665</v>
      </c>
      <c r="I21">
        <f>$C$42</f>
        <v>829</v>
      </c>
      <c r="J21" s="5">
        <f t="shared" ref="J21:J23" si="10">$F$42</f>
        <v>32200.000000000004</v>
      </c>
      <c r="K21">
        <v>7.0000000000000007E-2</v>
      </c>
      <c r="L21">
        <f>8/96</f>
        <v>8.3333333333333329E-2</v>
      </c>
      <c r="M21" s="4">
        <f t="shared" si="1"/>
        <v>187.83333333333337</v>
      </c>
      <c r="N21" s="5">
        <f t="shared" si="2"/>
        <v>94</v>
      </c>
      <c r="O21">
        <f t="shared" si="3"/>
        <v>195</v>
      </c>
      <c r="P21" s="5">
        <f t="shared" si="4"/>
        <v>289</v>
      </c>
      <c r="Q21">
        <v>0.53700000000000003</v>
      </c>
      <c r="R21">
        <v>2355.279</v>
      </c>
    </row>
    <row r="22" spans="1:18" x14ac:dyDescent="0.2">
      <c r="A22">
        <v>19</v>
      </c>
      <c r="B22" t="s">
        <v>56</v>
      </c>
      <c r="C22" t="s">
        <v>53</v>
      </c>
      <c r="D22" t="str">
        <f t="shared" si="0"/>
        <v>i</v>
      </c>
      <c r="E22" t="s">
        <v>26</v>
      </c>
      <c r="F22" t="s">
        <v>19</v>
      </c>
      <c r="H22">
        <f>$C$41</f>
        <v>665</v>
      </c>
      <c r="I22">
        <f>$C$42</f>
        <v>829</v>
      </c>
      <c r="J22" s="5">
        <f t="shared" si="10"/>
        <v>32200.000000000004</v>
      </c>
      <c r="K22">
        <v>7.0000000000000007E-2</v>
      </c>
      <c r="L22">
        <f>44/96</f>
        <v>0.45833333333333331</v>
      </c>
      <c r="M22" s="4">
        <f t="shared" si="1"/>
        <v>1033.0833333333335</v>
      </c>
      <c r="N22" s="5">
        <f t="shared" si="2"/>
        <v>519</v>
      </c>
      <c r="O22">
        <f t="shared" si="3"/>
        <v>1071</v>
      </c>
      <c r="P22" s="5">
        <f t="shared" si="4"/>
        <v>1590</v>
      </c>
      <c r="Q22">
        <v>0.433</v>
      </c>
      <c r="R22">
        <v>7432.5870000000004</v>
      </c>
    </row>
    <row r="23" spans="1:18" x14ac:dyDescent="0.2">
      <c r="A23">
        <v>20</v>
      </c>
      <c r="B23" t="s">
        <v>57</v>
      </c>
      <c r="C23" t="s">
        <v>53</v>
      </c>
      <c r="D23" t="str">
        <f t="shared" si="0"/>
        <v>i</v>
      </c>
      <c r="E23" t="s">
        <v>28</v>
      </c>
      <c r="F23" t="s">
        <v>19</v>
      </c>
      <c r="H23">
        <f>$C$41</f>
        <v>665</v>
      </c>
      <c r="I23">
        <f>$C$42</f>
        <v>829</v>
      </c>
      <c r="J23" s="5">
        <f t="shared" si="10"/>
        <v>32200.000000000004</v>
      </c>
      <c r="K23">
        <v>7.0000000000000007E-2</v>
      </c>
      <c r="L23">
        <f>44/96</f>
        <v>0.45833333333333331</v>
      </c>
      <c r="M23" s="4">
        <f t="shared" si="1"/>
        <v>1033.0833333333335</v>
      </c>
      <c r="N23" s="5">
        <f t="shared" si="2"/>
        <v>519</v>
      </c>
      <c r="O23">
        <f t="shared" si="3"/>
        <v>1071</v>
      </c>
      <c r="P23" s="5">
        <f t="shared" si="4"/>
        <v>1590</v>
      </c>
      <c r="Q23">
        <v>0.55000000000000004</v>
      </c>
      <c r="R23">
        <v>5305.1509999999998</v>
      </c>
    </row>
    <row r="24" spans="1:18" x14ac:dyDescent="0.2">
      <c r="M24" s="3"/>
      <c r="N24" s="3"/>
    </row>
    <row r="25" spans="1:18" x14ac:dyDescent="0.2">
      <c r="M25" s="3" t="s">
        <v>77</v>
      </c>
      <c r="N25" s="5">
        <f>SUM(N2:N23)</f>
        <v>66552</v>
      </c>
      <c r="O25">
        <f>SUM(O2:O23)</f>
        <v>137264</v>
      </c>
      <c r="P25">
        <f>SUM(P2:P23)</f>
        <v>203816</v>
      </c>
    </row>
    <row r="36" spans="1:6" x14ac:dyDescent="0.2">
      <c r="A36" t="s">
        <v>58</v>
      </c>
      <c r="B36" t="s">
        <v>59</v>
      </c>
      <c r="C36" t="s">
        <v>60</v>
      </c>
      <c r="D36" t="s">
        <v>72</v>
      </c>
      <c r="E36" s="2" t="s">
        <v>73</v>
      </c>
      <c r="F36" t="s">
        <v>75</v>
      </c>
    </row>
    <row r="37" spans="1:6" x14ac:dyDescent="0.2">
      <c r="A37" t="s">
        <v>64</v>
      </c>
      <c r="B37">
        <v>50</v>
      </c>
      <c r="C37">
        <f>SUM($B$37:$B37)</f>
        <v>50</v>
      </c>
    </row>
    <row r="38" spans="1:6" x14ac:dyDescent="0.2">
      <c r="A38" t="s">
        <v>66</v>
      </c>
      <c r="B38">
        <v>119</v>
      </c>
      <c r="C38">
        <f>SUM($B$37:$B38)</f>
        <v>169</v>
      </c>
      <c r="D38">
        <v>12</v>
      </c>
      <c r="E38" s="5">
        <f>D38/B38 * 1000 * 10 * 10</f>
        <v>10084.033613445377</v>
      </c>
      <c r="F38">
        <f>E38*B38/1000</f>
        <v>1200</v>
      </c>
    </row>
    <row r="39" spans="1:6" x14ac:dyDescent="0.2">
      <c r="A39" t="s">
        <v>68</v>
      </c>
      <c r="B39">
        <v>188</v>
      </c>
      <c r="C39">
        <f>SUM($B$37:$B39)</f>
        <v>357</v>
      </c>
      <c r="D39">
        <v>371</v>
      </c>
      <c r="E39" s="5">
        <f t="shared" ref="E39:E42" si="11">D39/B39 * 1000 * 10 * 10</f>
        <v>197340.42553191487</v>
      </c>
      <c r="F39">
        <f t="shared" ref="F39:F42" si="12">E39*B39/1000</f>
        <v>37099.999999999993</v>
      </c>
    </row>
    <row r="40" spans="1:6" x14ac:dyDescent="0.2">
      <c r="A40" t="s">
        <v>69</v>
      </c>
      <c r="B40">
        <v>148</v>
      </c>
      <c r="C40">
        <f>SUM($B$37:$B40)</f>
        <v>505</v>
      </c>
      <c r="D40">
        <v>389</v>
      </c>
      <c r="E40" s="5">
        <f t="shared" si="11"/>
        <v>262837.83783783781</v>
      </c>
      <c r="F40">
        <f t="shared" si="12"/>
        <v>38899.999999999993</v>
      </c>
    </row>
    <row r="41" spans="1:6" x14ac:dyDescent="0.2">
      <c r="A41" t="s">
        <v>70</v>
      </c>
      <c r="B41">
        <v>160</v>
      </c>
      <c r="C41">
        <f>SUM($B$37:$B41)</f>
        <v>665</v>
      </c>
      <c r="D41">
        <v>230</v>
      </c>
      <c r="E41" s="5">
        <f t="shared" si="11"/>
        <v>143750</v>
      </c>
      <c r="F41">
        <f t="shared" si="12"/>
        <v>23000</v>
      </c>
    </row>
    <row r="42" spans="1:6" x14ac:dyDescent="0.2">
      <c r="A42" t="s">
        <v>71</v>
      </c>
      <c r="B42">
        <v>164</v>
      </c>
      <c r="C42">
        <f>SUM($B$37:$B42)</f>
        <v>829</v>
      </c>
      <c r="D42">
        <v>322</v>
      </c>
      <c r="E42" s="5">
        <f t="shared" si="11"/>
        <v>196341.46341463417</v>
      </c>
      <c r="F42">
        <f t="shared" si="12"/>
        <v>32200.000000000004</v>
      </c>
    </row>
    <row r="46" spans="1:6" x14ac:dyDescent="0.2">
      <c r="A46" t="s">
        <v>61</v>
      </c>
      <c r="B46" t="s">
        <v>62</v>
      </c>
      <c r="C46" t="s">
        <v>63</v>
      </c>
    </row>
    <row r="47" spans="1:6" x14ac:dyDescent="0.2">
      <c r="A47" t="s">
        <v>65</v>
      </c>
      <c r="B47">
        <v>0.4</v>
      </c>
      <c r="C47">
        <v>0.7</v>
      </c>
    </row>
    <row r="48" spans="1:6" x14ac:dyDescent="0.2">
      <c r="A48" t="s">
        <v>67</v>
      </c>
      <c r="B48" s="1">
        <f>B47^2*PI()</f>
        <v>0.50265482457436694</v>
      </c>
      <c r="C48" s="1">
        <f>C47^2*PI() - B47^2*PI()</f>
        <v>1.0367255756846314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cell_models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Shinya Ito</cp:lastModifiedBy>
  <cp:revision>2</cp:revision>
  <dcterms:created xsi:type="dcterms:W3CDTF">2021-05-21T17:25:13Z</dcterms:created>
  <dcterms:modified xsi:type="dcterms:W3CDTF">2025-01-14T22:55:18Z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