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_models" sheetId="1" state="visible" r:id="rId2"/>
    <sheet name="general_parameter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<sst xmlns="http://schemas.openxmlformats.org/spreadsheetml/2006/main" count="120" uniqueCount="77">
  <si>
    <t xml:space="preserve">pop_id</t>
  </si>
  <si>
    <t xml:space="preserve">pop_name</t>
  </si>
  <si>
    <t xml:space="preserve">location</t>
  </si>
  <si>
    <t xml:space="preserve">ei</t>
  </si>
  <si>
    <t xml:space="preserve">cre_line</t>
  </si>
  <si>
    <t xml:space="preserve">reporter_status</t>
  </si>
  <si>
    <t xml:space="preserve">me_type</t>
  </si>
  <si>
    <t xml:space="preserve">upper_bound</t>
  </si>
  <si>
    <t xml:space="preserve">lower_bound</t>
  </si>
  <si>
    <t xml:space="preserve">Relative fraction within ei</t>
  </si>
  <si>
    <t xml:space="preserve">base core cell number</t>
  </si>
  <si>
    <t xml:space="preserve">inhibitory fraction</t>
  </si>
  <si>
    <t xml:space="preserve">pop_core_count</t>
  </si>
  <si>
    <t xml:space="preserve">pop_peripheral_count</t>
  </si>
  <si>
    <t xml:space="preserve">pop_combined_count</t>
  </si>
  <si>
    <t xml:space="preserve">lognorm_shape</t>
  </si>
  <si>
    <t xml:space="preserve">lognorm_scale</t>
  </si>
  <si>
    <t xml:space="preserve">i1Htr3a</t>
  </si>
  <si>
    <t xml:space="preserve">VisL1</t>
  </si>
  <si>
    <t xml:space="preserve">Htr3a</t>
  </si>
  <si>
    <t xml:space="preserve">positive</t>
  </si>
  <si>
    <t xml:space="preserve">e23Cux2</t>
  </si>
  <si>
    <t xml:space="preserve">VisL2/3</t>
  </si>
  <si>
    <t xml:space="preserve">Cux2</t>
  </si>
  <si>
    <t xml:space="preserve">i23Vip</t>
  </si>
  <si>
    <t xml:space="preserve">Vip-</t>
  </si>
  <si>
    <t xml:space="preserve">i23Pvalb</t>
  </si>
  <si>
    <t xml:space="preserve">Pvalb-IRES</t>
  </si>
  <si>
    <t xml:space="preserve">i23Sst</t>
  </si>
  <si>
    <t xml:space="preserve">Sst</t>
  </si>
  <si>
    <t xml:space="preserve">e4Nr5a1</t>
  </si>
  <si>
    <t xml:space="preserve">VisL4</t>
  </si>
  <si>
    <t xml:space="preserve">Nr5a1</t>
  </si>
  <si>
    <t xml:space="preserve">e4Rorb</t>
  </si>
  <si>
    <t xml:space="preserve">Rorb</t>
  </si>
  <si>
    <t xml:space="preserve">e4Scnn1a</t>
  </si>
  <si>
    <t xml:space="preserve">Scnn1a</t>
  </si>
  <si>
    <t xml:space="preserve">e4other</t>
  </si>
  <si>
    <t xml:space="preserve">Nr5a1,Rorb,Scnn1a</t>
  </si>
  <si>
    <t xml:space="preserve">negative</t>
  </si>
  <si>
    <t xml:space="preserve">i4Vip</t>
  </si>
  <si>
    <t xml:space="preserve">i4Pvalb</t>
  </si>
  <si>
    <t xml:space="preserve">i4Sst</t>
  </si>
  <si>
    <t xml:space="preserve">e5IT</t>
  </si>
  <si>
    <t xml:space="preserve">VisL5</t>
  </si>
  <si>
    <t xml:space="preserve">ME_Exc_5,ME_Exc_13</t>
  </si>
  <si>
    <t xml:space="preserve">e5ET</t>
  </si>
  <si>
    <t xml:space="preserve">ME_Exc_1</t>
  </si>
  <si>
    <t xml:space="preserve">e5NP</t>
  </si>
  <si>
    <t xml:space="preserve">Exc_3</t>
  </si>
  <si>
    <t xml:space="preserve">i5Vip</t>
  </si>
  <si>
    <t xml:space="preserve">i5Pvalb</t>
  </si>
  <si>
    <t xml:space="preserve">i5Sst</t>
  </si>
  <si>
    <t xml:space="preserve">e6Ntsr1</t>
  </si>
  <si>
    <t xml:space="preserve">VisL6a</t>
  </si>
  <si>
    <t xml:space="preserve">Ntsr1</t>
  </si>
  <si>
    <t xml:space="preserve">i6Vip</t>
  </si>
  <si>
    <t xml:space="preserve">i6Pvalb</t>
  </si>
  <si>
    <t xml:space="preserve">i6Sst</t>
  </si>
  <si>
    <t xml:space="preserve">Layer</t>
  </si>
  <si>
    <t xml:space="preserve">Layer thicknesses</t>
  </si>
  <si>
    <t xml:space="preserve">Layer boundaries</t>
  </si>
  <si>
    <t xml:space="preserve">Domain</t>
  </si>
  <si>
    <t xml:space="preserve">core</t>
  </si>
  <si>
    <t xml:space="preserve">peripheral</t>
  </si>
  <si>
    <t xml:space="preserve">neuropil</t>
  </si>
  <si>
    <t xml:space="preserve">radius (mm)</t>
  </si>
  <si>
    <t xml:space="preserve">L1</t>
  </si>
  <si>
    <t xml:space="preserve">area (mm^2)</t>
  </si>
  <si>
    <t xml:space="preserve">L23</t>
  </si>
  <si>
    <t xml:space="preserve">L4</t>
  </si>
  <si>
    <t xml:space="preserve">L5</t>
  </si>
  <si>
    <t xml:space="preserve">L6</t>
  </si>
  <si>
    <t xml:space="preserve">properties</t>
  </si>
  <si>
    <t xml:space="preserve">values</t>
  </si>
  <si>
    <t xml:space="preserve">radius</t>
  </si>
  <si>
    <t xml:space="preserve">core_radius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</si>
</sst>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4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19" activeCellId="0" sqref="R19"/>
    </sheetView>
  </sheetViews>
  <sheetFormatPr defaultColWidth="10.5" defaultRowHeight="16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12.83"/>
    <col collapsed="false" customWidth="true" hidden="false" outlineLevel="0" max="3" min="3" style="0" width="9.17"/>
    <col collapsed="false" customWidth="true" hidden="false" outlineLevel="0" max="4" min="4" style="0" width="5.16"/>
    <col collapsed="false" customWidth="true" hidden="false" outlineLevel="0" max="5" min="5" style="0" width="19"/>
    <col collapsed="false" customWidth="true" hidden="true" outlineLevel="0" max="7" min="6" style="0" width="14.66"/>
    <col collapsed="false" customWidth="true" hidden="true" outlineLevel="0" max="8" min="8" style="0" width="12.33"/>
    <col collapsed="false" customWidth="true" hidden="true" outlineLevel="0" max="9" min="9" style="0" width="13"/>
    <col collapsed="false" customWidth="true" hidden="true" outlineLevel="0" max="10" min="10" style="0" width="23.17"/>
    <col collapsed="false" customWidth="true" hidden="true" outlineLevel="0" max="11" min="11" style="0" width="19.83"/>
    <col collapsed="false" customWidth="true" hidden="true" outlineLevel="0" max="12" min="12" style="0" width="19.33"/>
    <col collapsed="false" customWidth="true" hidden="true" outlineLevel="0" max="13" min="13" style="0" width="14.84"/>
    <col collapsed="false" customWidth="true" hidden="true" outlineLevel="0" max="14" min="14" style="0" width="19.16"/>
    <col collapsed="false" customWidth="true" hidden="true" outlineLevel="0" max="15" min="15" style="0" width="19.5"/>
  </cols>
  <sheetData>
    <row r="1" customFormat="false" ht="16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</row>
    <row r="2" customFormat="false" ht="16" hidden="false" customHeight="false" outlineLevel="0" collapsed="false">
      <c r="A2" s="0" t="n">
        <v>0</v>
      </c>
      <c r="B2" s="0" t="s">
        <v>17</v>
      </c>
      <c r="C2" s="0" t="s">
        <v>18</v>
      </c>
      <c r="D2" s="0" t="str">
        <f aca="false">LEFT(B2, 1)</f>
        <v>i</v>
      </c>
      <c r="E2" s="0" t="s">
        <v>19</v>
      </c>
      <c r="F2" s="0" t="s">
        <v>20</v>
      </c>
      <c r="H2" s="0" t="n">
        <f aca="false">$C$37</f>
        <v>50</v>
      </c>
      <c r="I2" s="0" t="n">
        <f aca="false">$C$38</f>
        <v>169</v>
      </c>
      <c r="J2" s="0" t="n">
        <v>1</v>
      </c>
      <c r="K2" s="0" t="n">
        <v>603</v>
      </c>
      <c r="L2" s="0" t="n">
        <v>1</v>
      </c>
      <c r="M2" s="0" t="n">
        <f aca="false">ROUND(K2*J2*IF(EXACT(D2,"i"), L2, 1-L2), 0)</f>
        <v>603</v>
      </c>
      <c r="N2" s="0" t="n">
        <f aca="false">ROUND(M2/$J$38*$K$38, 0)</f>
        <v>2088</v>
      </c>
      <c r="O2" s="0" t="n">
        <f aca="false">SUM(M2:N2)</f>
        <v>2691</v>
      </c>
      <c r="P2" s="0" t="n">
        <v>0.856</v>
      </c>
      <c r="Q2" s="0" t="n">
        <v>2808.682</v>
      </c>
    </row>
    <row r="3" customFormat="false" ht="16" hidden="false" customHeight="false" outlineLevel="0" collapsed="false">
      <c r="A3" s="0" t="n">
        <v>1</v>
      </c>
      <c r="B3" s="0" t="s">
        <v>21</v>
      </c>
      <c r="C3" s="0" t="s">
        <v>22</v>
      </c>
      <c r="D3" s="0" t="str">
        <f aca="false">LEFT(B3, 1)</f>
        <v>e</v>
      </c>
      <c r="E3" s="0" t="s">
        <v>23</v>
      </c>
      <c r="F3" s="0" t="s">
        <v>20</v>
      </c>
      <c r="H3" s="0" t="n">
        <f aca="false">$C$38</f>
        <v>169</v>
      </c>
      <c r="I3" s="0" t="n">
        <f aca="false">$C$39</f>
        <v>357</v>
      </c>
      <c r="J3" s="0" t="n">
        <v>1</v>
      </c>
      <c r="K3" s="0" t="n">
        <v>18648</v>
      </c>
      <c r="L3" s="0" t="n">
        <v>0.1</v>
      </c>
      <c r="M3" s="0" t="n">
        <f aca="false">ROUND(K3*J3*IF(EXACT(D3,"i"), L3, 1-L3), 0)</f>
        <v>16783</v>
      </c>
      <c r="N3" s="0" t="n">
        <f aca="false">ROUND(M3/$J$38*$K$38, 0)</f>
        <v>58114</v>
      </c>
      <c r="O3" s="0" t="n">
        <f aca="false">SUM(M3:N3)</f>
        <v>74897</v>
      </c>
      <c r="P3" s="0" t="n">
        <v>0.363</v>
      </c>
      <c r="Q3" s="0" t="n">
        <v>3815.682</v>
      </c>
    </row>
    <row r="4" customFormat="false" ht="16" hidden="false" customHeight="false" outlineLevel="0" collapsed="false">
      <c r="A4" s="0" t="n">
        <v>2</v>
      </c>
      <c r="B4" s="0" t="s">
        <v>24</v>
      </c>
      <c r="C4" s="0" t="s">
        <v>22</v>
      </c>
      <c r="D4" s="0" t="str">
        <f aca="false">LEFT(B4, 1)</f>
        <v>i</v>
      </c>
      <c r="E4" s="0" t="s">
        <v>25</v>
      </c>
      <c r="F4" s="0" t="s">
        <v>20</v>
      </c>
      <c r="H4" s="0" t="n">
        <f aca="false">$C$38</f>
        <v>169</v>
      </c>
      <c r="I4" s="0" t="n">
        <f aca="false">$C$39</f>
        <v>357</v>
      </c>
      <c r="J4" s="0" t="n">
        <f aca="false">48/98</f>
        <v>0.489795918367347</v>
      </c>
      <c r="K4" s="0" t="n">
        <v>18648</v>
      </c>
      <c r="L4" s="0" t="n">
        <v>0.1</v>
      </c>
      <c r="M4" s="0" t="n">
        <f aca="false">ROUND(K4*J4*IF(EXACT(D4,"i"), L4, 1-L4), 0)</f>
        <v>913</v>
      </c>
      <c r="N4" s="0" t="n">
        <f aca="false">ROUND(M4/$J$38*$K$38, 0)</f>
        <v>3161</v>
      </c>
      <c r="O4" s="0" t="n">
        <f aca="false">SUM(M4:N4)</f>
        <v>4074</v>
      </c>
      <c r="P4" s="0" t="n">
        <v>0.537</v>
      </c>
      <c r="Q4" s="0" t="n">
        <v>2355.279</v>
      </c>
    </row>
    <row r="5" customFormat="false" ht="16" hidden="false" customHeight="false" outlineLevel="0" collapsed="false">
      <c r="A5" s="0" t="n">
        <v>3</v>
      </c>
      <c r="B5" s="0" t="s">
        <v>26</v>
      </c>
      <c r="C5" s="0" t="s">
        <v>22</v>
      </c>
      <c r="D5" s="0" t="str">
        <f aca="false">LEFT(B5, 1)</f>
        <v>i</v>
      </c>
      <c r="E5" s="0" t="s">
        <v>27</v>
      </c>
      <c r="F5" s="0" t="s">
        <v>20</v>
      </c>
      <c r="H5" s="0" t="n">
        <f aca="false">$C$38</f>
        <v>169</v>
      </c>
      <c r="I5" s="0" t="n">
        <f aca="false">$C$39</f>
        <v>357</v>
      </c>
      <c r="J5" s="0" t="n">
        <f aca="false">29/98</f>
        <v>0.295918367346939</v>
      </c>
      <c r="K5" s="0" t="n">
        <v>18648</v>
      </c>
      <c r="L5" s="0" t="n">
        <v>0.1</v>
      </c>
      <c r="M5" s="0" t="n">
        <f aca="false">ROUND(K5*J5*IF(EXACT(D5,"i"), L5, 1-L5), 0)</f>
        <v>552</v>
      </c>
      <c r="N5" s="0" t="n">
        <f aca="false">ROUND(M5/$J$38*$K$38, 0)</f>
        <v>1911</v>
      </c>
      <c r="O5" s="0" t="n">
        <f aca="false">SUM(M5:N5)</f>
        <v>2463</v>
      </c>
      <c r="P5" s="0" t="n">
        <v>0.433</v>
      </c>
      <c r="Q5" s="0" t="n">
        <v>7432.587</v>
      </c>
    </row>
    <row r="6" customFormat="false" ht="16" hidden="false" customHeight="false" outlineLevel="0" collapsed="false">
      <c r="A6" s="0" t="n">
        <v>4</v>
      </c>
      <c r="B6" s="0" t="s">
        <v>28</v>
      </c>
      <c r="C6" s="0" t="s">
        <v>22</v>
      </c>
      <c r="D6" s="0" t="str">
        <f aca="false">LEFT(B6, 1)</f>
        <v>i</v>
      </c>
      <c r="E6" s="0" t="s">
        <v>29</v>
      </c>
      <c r="F6" s="0" t="s">
        <v>20</v>
      </c>
      <c r="H6" s="0" t="n">
        <f aca="false">$C$38</f>
        <v>169</v>
      </c>
      <c r="I6" s="0" t="n">
        <f aca="false">$C$39</f>
        <v>357</v>
      </c>
      <c r="J6" s="0" t="n">
        <f aca="false">21/98</f>
        <v>0.214285714285714</v>
      </c>
      <c r="K6" s="0" t="n">
        <v>18648</v>
      </c>
      <c r="L6" s="0" t="n">
        <v>0.1</v>
      </c>
      <c r="M6" s="0" t="n">
        <f aca="false">ROUND(K6*J6*IF(EXACT(D6,"i"), L6, 1-L6), 0)</f>
        <v>400</v>
      </c>
      <c r="N6" s="0" t="n">
        <f aca="false">ROUND(M6/$J$38*$K$38, 0)</f>
        <v>1385</v>
      </c>
      <c r="O6" s="0" t="n">
        <f aca="false">SUM(M6:N6)</f>
        <v>1785</v>
      </c>
      <c r="P6" s="0" t="n">
        <v>0.55</v>
      </c>
      <c r="Q6" s="0" t="n">
        <v>5305.151</v>
      </c>
    </row>
    <row r="7" customFormat="false" ht="16" hidden="false" customHeight="false" outlineLevel="0" collapsed="false">
      <c r="A7" s="0" t="n">
        <v>5</v>
      </c>
      <c r="B7" s="0" t="s">
        <v>30</v>
      </c>
      <c r="C7" s="0" t="s">
        <v>31</v>
      </c>
      <c r="D7" s="0" t="str">
        <f aca="false">LEFT(B7, 1)</f>
        <v>e</v>
      </c>
      <c r="E7" s="0" t="s">
        <v>32</v>
      </c>
      <c r="F7" s="0" t="s">
        <v>20</v>
      </c>
      <c r="H7" s="0" t="n">
        <f aca="false">$C$39</f>
        <v>357</v>
      </c>
      <c r="I7" s="0" t="n">
        <f aca="false">$C$40</f>
        <v>505</v>
      </c>
      <c r="J7" s="0" t="n">
        <v>0.12</v>
      </c>
      <c r="K7" s="0" t="n">
        <v>19553</v>
      </c>
      <c r="L7" s="0" t="n">
        <v>0.11</v>
      </c>
      <c r="M7" s="0" t="n">
        <f aca="false">ROUND(K7*J7*IF(EXACT(D7,"i"), L7, 1-L7), 0)</f>
        <v>2088</v>
      </c>
      <c r="N7" s="0" t="n">
        <f aca="false">ROUND(M7/$J$38*$K$38, 0)</f>
        <v>7230</v>
      </c>
      <c r="O7" s="0" t="n">
        <f aca="false">SUM(M7:N7)</f>
        <v>9318</v>
      </c>
      <c r="P7" s="0" t="n">
        <v>0.345</v>
      </c>
      <c r="Q7" s="0" t="n">
        <v>2188.765</v>
      </c>
    </row>
    <row r="8" customFormat="false" ht="15" hidden="false" customHeight="false" outlineLevel="0" collapsed="false">
      <c r="A8" s="0" t="n">
        <v>6</v>
      </c>
      <c r="B8" s="0" t="s">
        <v>33</v>
      </c>
      <c r="C8" s="0" t="s">
        <v>31</v>
      </c>
      <c r="D8" s="0" t="str">
        <f aca="false">LEFT(B8, 1)</f>
        <v>e</v>
      </c>
      <c r="E8" s="0" t="s">
        <v>34</v>
      </c>
      <c r="F8" s="0" t="s">
        <v>20</v>
      </c>
      <c r="H8" s="0" t="n">
        <f aca="false">$C$39</f>
        <v>357</v>
      </c>
      <c r="I8" s="0" t="n">
        <f aca="false">$C$40</f>
        <v>505</v>
      </c>
      <c r="J8" s="0" t="n">
        <v>0.26</v>
      </c>
      <c r="K8" s="0" t="n">
        <v>19553</v>
      </c>
      <c r="L8" s="0" t="n">
        <v>0.11</v>
      </c>
      <c r="M8" s="0" t="n">
        <f aca="false">ROUND(K8*J8*IF(EXACT(D8,"i"), L8, 1-L8), 0)</f>
        <v>4525</v>
      </c>
      <c r="N8" s="0" t="n">
        <f aca="false">ROUND(M8/$J$38*$K$38, 0)</f>
        <v>15669</v>
      </c>
      <c r="O8" s="0" t="n">
        <f aca="false">SUM(M8:N8)</f>
        <v>20194</v>
      </c>
      <c r="P8" s="0" t="n">
        <v>0.345</v>
      </c>
      <c r="Q8" s="0" t="n">
        <v>2188.765</v>
      </c>
    </row>
    <row r="9" customFormat="false" ht="15" hidden="false" customHeight="false" outlineLevel="0" collapsed="false">
      <c r="A9" s="0" t="n">
        <v>7</v>
      </c>
      <c r="B9" s="0" t="s">
        <v>35</v>
      </c>
      <c r="C9" s="0" t="s">
        <v>31</v>
      </c>
      <c r="D9" s="0" t="str">
        <f aca="false">LEFT(B9, 1)</f>
        <v>e</v>
      </c>
      <c r="E9" s="0" t="s">
        <v>36</v>
      </c>
      <c r="F9" s="0" t="s">
        <v>20</v>
      </c>
      <c r="H9" s="0" t="n">
        <f aca="false">$C$39</f>
        <v>357</v>
      </c>
      <c r="I9" s="0" t="n">
        <f aca="false">$C$40</f>
        <v>505</v>
      </c>
      <c r="J9" s="0" t="n">
        <v>0.3</v>
      </c>
      <c r="K9" s="0" t="n">
        <v>19553</v>
      </c>
      <c r="L9" s="0" t="n">
        <v>0.11</v>
      </c>
      <c r="M9" s="0" t="n">
        <f aca="false">ROUND(K9*J9*IF(EXACT(D9,"i"), L9, 1-L9), 0)</f>
        <v>5221</v>
      </c>
      <c r="N9" s="0" t="n">
        <f aca="false">ROUND(M9/$J$38*$K$38, 0)</f>
        <v>18079</v>
      </c>
      <c r="O9" s="0" t="n">
        <f aca="false">SUM(M9:N9)</f>
        <v>23300</v>
      </c>
      <c r="P9" s="0" t="n">
        <v>0.345</v>
      </c>
      <c r="Q9" s="0" t="n">
        <v>2188.765</v>
      </c>
    </row>
    <row r="10" customFormat="false" ht="15" hidden="false" customHeight="false" outlineLevel="0" collapsed="false">
      <c r="A10" s="0" t="n">
        <v>8</v>
      </c>
      <c r="B10" s="0" t="s">
        <v>37</v>
      </c>
      <c r="C10" s="0" t="s">
        <v>31</v>
      </c>
      <c r="D10" s="0" t="str">
        <f aca="false">LEFT(B10, 1)</f>
        <v>e</v>
      </c>
      <c r="E10" s="0" t="s">
        <v>38</v>
      </c>
      <c r="F10" s="0" t="s">
        <v>39</v>
      </c>
      <c r="H10" s="0" t="n">
        <f aca="false">$C$39</f>
        <v>357</v>
      </c>
      <c r="I10" s="0" t="n">
        <f aca="false">$C$40</f>
        <v>505</v>
      </c>
      <c r="J10" s="0" t="n">
        <f aca="false">1-SUM($J7:$J9)</f>
        <v>0.32</v>
      </c>
      <c r="K10" s="0" t="n">
        <v>19553</v>
      </c>
      <c r="L10" s="0" t="n">
        <v>0.11</v>
      </c>
      <c r="M10" s="0" t="n">
        <f aca="false">ROUND(K10*J10*IF(EXACT(D10,"i"), L10, 1-L10), 0)</f>
        <v>5569</v>
      </c>
      <c r="N10" s="0" t="n">
        <f aca="false">ROUND(M10/$J$38*$K$38, 0)</f>
        <v>19284</v>
      </c>
      <c r="O10" s="0" t="n">
        <f aca="false">SUM(M10:N10)</f>
        <v>24853</v>
      </c>
      <c r="P10" s="0" t="n">
        <v>0.345</v>
      </c>
      <c r="Q10" s="0" t="n">
        <v>2188.765</v>
      </c>
    </row>
    <row r="11" customFormat="false" ht="15" hidden="false" customHeight="false" outlineLevel="0" collapsed="false">
      <c r="A11" s="0" t="n">
        <v>9</v>
      </c>
      <c r="B11" s="0" t="s">
        <v>40</v>
      </c>
      <c r="C11" s="0" t="s">
        <v>31</v>
      </c>
      <c r="D11" s="0" t="str">
        <f aca="false">LEFT(B11, 1)</f>
        <v>i</v>
      </c>
      <c r="E11" s="0" t="s">
        <v>25</v>
      </c>
      <c r="F11" s="0" t="s">
        <v>20</v>
      </c>
      <c r="H11" s="0" t="n">
        <f aca="false">$C$39</f>
        <v>357</v>
      </c>
      <c r="I11" s="0" t="n">
        <f aca="false">$C$40</f>
        <v>505</v>
      </c>
      <c r="J11" s="0" t="n">
        <f aca="false">16/105</f>
        <v>0.152380952380952</v>
      </c>
      <c r="K11" s="0" t="n">
        <v>19553</v>
      </c>
      <c r="L11" s="0" t="n">
        <v>0.11</v>
      </c>
      <c r="M11" s="0" t="n">
        <f aca="false">ROUND(K11*J11*IF(EXACT(D11,"i"), L11, 1-L11), 0)</f>
        <v>328</v>
      </c>
      <c r="N11" s="0" t="n">
        <f aca="false">ROUND(M11/$J$38*$K$38, 0)</f>
        <v>1136</v>
      </c>
      <c r="O11" s="0" t="n">
        <f aca="false">SUM(M11:N11)</f>
        <v>1464</v>
      </c>
      <c r="P11" s="0" t="n">
        <v>0.537</v>
      </c>
      <c r="Q11" s="0" t="n">
        <v>2355.279</v>
      </c>
    </row>
    <row r="12" customFormat="false" ht="15" hidden="false" customHeight="false" outlineLevel="0" collapsed="false">
      <c r="A12" s="0" t="n">
        <v>10</v>
      </c>
      <c r="B12" s="0" t="s">
        <v>41</v>
      </c>
      <c r="C12" s="0" t="s">
        <v>31</v>
      </c>
      <c r="D12" s="0" t="str">
        <f aca="false">LEFT(B12, 1)</f>
        <v>i</v>
      </c>
      <c r="E12" s="0" t="s">
        <v>27</v>
      </c>
      <c r="F12" s="0" t="s">
        <v>20</v>
      </c>
      <c r="H12" s="0" t="n">
        <f aca="false">$C$39</f>
        <v>357</v>
      </c>
      <c r="I12" s="0" t="n">
        <f aca="false">$C$40</f>
        <v>505</v>
      </c>
      <c r="J12" s="0" t="n">
        <f aca="false">58/105</f>
        <v>0.552380952380952</v>
      </c>
      <c r="K12" s="0" t="n">
        <v>19553</v>
      </c>
      <c r="L12" s="0" t="n">
        <v>0.11</v>
      </c>
      <c r="M12" s="0" t="n">
        <f aca="false">ROUND(K12*J12*IF(EXACT(D12,"i"), L12, 1-L12), 0)</f>
        <v>1188</v>
      </c>
      <c r="N12" s="0" t="n">
        <f aca="false">ROUND(M12/$J$38*$K$38, 0)</f>
        <v>4114</v>
      </c>
      <c r="O12" s="0" t="n">
        <f aca="false">SUM(M12:N12)</f>
        <v>5302</v>
      </c>
      <c r="P12" s="0" t="n">
        <v>0.433</v>
      </c>
      <c r="Q12" s="0" t="n">
        <v>7432.587</v>
      </c>
    </row>
    <row r="13" customFormat="false" ht="15" hidden="false" customHeight="false" outlineLevel="0" collapsed="false">
      <c r="A13" s="0" t="n">
        <v>11</v>
      </c>
      <c r="B13" s="0" t="s">
        <v>42</v>
      </c>
      <c r="C13" s="0" t="s">
        <v>31</v>
      </c>
      <c r="D13" s="0" t="str">
        <f aca="false">LEFT(B13, 1)</f>
        <v>i</v>
      </c>
      <c r="E13" s="0" t="s">
        <v>29</v>
      </c>
      <c r="F13" s="0" t="s">
        <v>20</v>
      </c>
      <c r="H13" s="0" t="n">
        <f aca="false">$C$39</f>
        <v>357</v>
      </c>
      <c r="I13" s="0" t="n">
        <f aca="false">$C$40</f>
        <v>505</v>
      </c>
      <c r="J13" s="0" t="n">
        <f aca="false">31/105</f>
        <v>0.295238095238095</v>
      </c>
      <c r="K13" s="0" t="n">
        <v>19553</v>
      </c>
      <c r="L13" s="0" t="n">
        <v>0.11</v>
      </c>
      <c r="M13" s="0" t="n">
        <f aca="false">ROUND(K13*J13*IF(EXACT(D13,"i"), L13, 1-L13), 0)</f>
        <v>635</v>
      </c>
      <c r="N13" s="0" t="n">
        <f aca="false">ROUND(M13/$J$38*$K$38, 0)</f>
        <v>2199</v>
      </c>
      <c r="O13" s="0" t="n">
        <f aca="false">SUM(M13:N13)</f>
        <v>2834</v>
      </c>
      <c r="P13" s="0" t="n">
        <v>0.55</v>
      </c>
      <c r="Q13" s="0" t="n">
        <v>5305.151</v>
      </c>
    </row>
    <row r="14" customFormat="false" ht="16" hidden="false" customHeight="false" outlineLevel="0" collapsed="false">
      <c r="A14" s="0" t="n">
        <v>12</v>
      </c>
      <c r="B14" s="0" t="s">
        <v>43</v>
      </c>
      <c r="C14" s="0" t="s">
        <v>44</v>
      </c>
      <c r="D14" s="0" t="str">
        <f aca="false">LEFT(B14, 1)</f>
        <v>e</v>
      </c>
      <c r="G14" s="0" t="s">
        <v>45</v>
      </c>
      <c r="H14" s="0" t="n">
        <f aca="false">$C$40</f>
        <v>505</v>
      </c>
      <c r="I14" s="0" t="n">
        <f aca="false">$C$41</f>
        <v>665</v>
      </c>
      <c r="J14" s="0" t="n">
        <v>0.7</v>
      </c>
      <c r="K14" s="0" t="n">
        <v>11561</v>
      </c>
      <c r="L14" s="0" t="n">
        <v>0.19</v>
      </c>
      <c r="M14" s="0" t="n">
        <f aca="false">ROUND(K14*J14*IF(EXACT(D14,"i"), L14, 1-L14), 0)</f>
        <v>6555</v>
      </c>
      <c r="N14" s="0" t="n">
        <f aca="false">ROUND(M14/$J$38*$K$38, 0)</f>
        <v>22698</v>
      </c>
      <c r="O14" s="0" t="n">
        <f aca="false">SUM(M14:N14)</f>
        <v>29253</v>
      </c>
      <c r="P14" s="0" t="n">
        <v>0.331</v>
      </c>
      <c r="Q14" s="0" t="n">
        <v>2552.072</v>
      </c>
    </row>
    <row r="15" customFormat="false" ht="16" hidden="false" customHeight="false" outlineLevel="0" collapsed="false">
      <c r="A15" s="0" t="n">
        <v>13</v>
      </c>
      <c r="B15" s="0" t="s">
        <v>46</v>
      </c>
      <c r="C15" s="0" t="s">
        <v>44</v>
      </c>
      <c r="D15" s="0" t="str">
        <f aca="false">LEFT(B15, 1)</f>
        <v>e</v>
      </c>
      <c r="G15" s="0" t="s">
        <v>47</v>
      </c>
      <c r="H15" s="0" t="n">
        <f aca="false">$C$40</f>
        <v>505</v>
      </c>
      <c r="I15" s="0" t="n">
        <f aca="false">$C$41</f>
        <v>665</v>
      </c>
      <c r="J15" s="0" t="n">
        <v>0.26</v>
      </c>
      <c r="K15" s="0" t="n">
        <v>11561</v>
      </c>
      <c r="L15" s="0" t="n">
        <v>0.19</v>
      </c>
      <c r="M15" s="0" t="n">
        <f aca="false">ROUND(K15*J15*IF(EXACT(D15,"i"), L15, 1-L15), 0)</f>
        <v>2435</v>
      </c>
      <c r="N15" s="0" t="n">
        <f aca="false">ROUND(M15/$J$38*$K$38, 0)</f>
        <v>8432</v>
      </c>
      <c r="O15" s="0" t="n">
        <f aca="false">SUM(M15:N15)</f>
        <v>10867</v>
      </c>
      <c r="P15" s="0" t="n">
        <v>0.424</v>
      </c>
      <c r="Q15" s="0" t="n">
        <v>7406.546</v>
      </c>
    </row>
    <row r="16" customFormat="false" ht="16" hidden="false" customHeight="false" outlineLevel="0" collapsed="false">
      <c r="A16" s="0" t="n">
        <v>14</v>
      </c>
      <c r="B16" s="0" t="s">
        <v>48</v>
      </c>
      <c r="C16" s="0" t="s">
        <v>44</v>
      </c>
      <c r="D16" s="0" t="str">
        <f aca="false">LEFT(B16, 1)</f>
        <v>e</v>
      </c>
      <c r="G16" s="0" t="s">
        <v>49</v>
      </c>
      <c r="H16" s="0" t="n">
        <v>505</v>
      </c>
      <c r="I16" s="0" t="n">
        <v>665</v>
      </c>
      <c r="J16" s="0" t="n">
        <v>0.04</v>
      </c>
      <c r="K16" s="0" t="n">
        <v>11561</v>
      </c>
      <c r="L16" s="0" t="n">
        <v>0.19</v>
      </c>
      <c r="M16" s="0" t="n">
        <f aca="false">ROUND(K16*J16*IF(EXACT(D16,"i"), L16, 1-L16), 0)</f>
        <v>375</v>
      </c>
      <c r="N16" s="0" t="n">
        <f aca="false">ROUND(M16/$J$38*$K$38, 0)</f>
        <v>1298</v>
      </c>
      <c r="O16" s="0" t="n">
        <f aca="false">SUM(M16:N16)</f>
        <v>1673</v>
      </c>
      <c r="P16" s="0" t="n">
        <v>1.376</v>
      </c>
      <c r="Q16" s="0" t="n">
        <v>679.745</v>
      </c>
    </row>
    <row r="17" customFormat="false" ht="15" hidden="false" customHeight="false" outlineLevel="0" collapsed="false">
      <c r="A17" s="0" t="n">
        <v>14</v>
      </c>
      <c r="B17" s="0" t="s">
        <v>50</v>
      </c>
      <c r="C17" s="0" t="s">
        <v>44</v>
      </c>
      <c r="D17" s="0" t="str">
        <f aca="false">LEFT(B17, 1)</f>
        <v>i</v>
      </c>
      <c r="E17" s="0" t="s">
        <v>25</v>
      </c>
      <c r="F17" s="0" t="s">
        <v>20</v>
      </c>
      <c r="H17" s="0" t="n">
        <f aca="false">$C$40</f>
        <v>505</v>
      </c>
      <c r="I17" s="0" t="n">
        <f aca="false">$C$41</f>
        <v>665</v>
      </c>
      <c r="J17" s="0" t="n">
        <f aca="false">9/105</f>
        <v>0.0857142857142857</v>
      </c>
      <c r="K17" s="0" t="n">
        <v>11561</v>
      </c>
      <c r="L17" s="0" t="n">
        <v>0.19</v>
      </c>
      <c r="M17" s="0" t="n">
        <f aca="false">ROUND(K17*J17*IF(EXACT(D17,"i"), L17, 1-L17), 0)</f>
        <v>188</v>
      </c>
      <c r="N17" s="0" t="n">
        <f aca="false">ROUND(M17/$J$38*$K$38, 0)</f>
        <v>651</v>
      </c>
      <c r="O17" s="0" t="n">
        <f aca="false">SUM(M17:N17)</f>
        <v>839</v>
      </c>
      <c r="P17" s="0" t="n">
        <v>0.537</v>
      </c>
      <c r="Q17" s="0" t="n">
        <v>2355.279</v>
      </c>
    </row>
    <row r="18" customFormat="false" ht="15" hidden="false" customHeight="false" outlineLevel="0" collapsed="false">
      <c r="A18" s="0" t="n">
        <v>15</v>
      </c>
      <c r="B18" s="0" t="s">
        <v>51</v>
      </c>
      <c r="C18" s="0" t="s">
        <v>44</v>
      </c>
      <c r="D18" s="0" t="str">
        <f aca="false">LEFT(B18, 1)</f>
        <v>i</v>
      </c>
      <c r="E18" s="0" t="s">
        <v>27</v>
      </c>
      <c r="F18" s="0" t="s">
        <v>20</v>
      </c>
      <c r="H18" s="0" t="n">
        <f aca="false">$C$40</f>
        <v>505</v>
      </c>
      <c r="I18" s="0" t="n">
        <f aca="false">$C$41</f>
        <v>665</v>
      </c>
      <c r="J18" s="0" t="n">
        <f aca="false">51/105</f>
        <v>0.485714285714286</v>
      </c>
      <c r="K18" s="0" t="n">
        <v>11561</v>
      </c>
      <c r="L18" s="0" t="n">
        <v>0.19</v>
      </c>
      <c r="M18" s="0" t="n">
        <f aca="false">ROUND(K18*J18*IF(EXACT(D18,"i"), L18, 1-L18), 0)</f>
        <v>1067</v>
      </c>
      <c r="N18" s="0" t="n">
        <f aca="false">ROUND(M18/$J$38*$K$38, 0)</f>
        <v>3695</v>
      </c>
      <c r="O18" s="0" t="n">
        <f aca="false">SUM(M18:N18)</f>
        <v>4762</v>
      </c>
      <c r="P18" s="0" t="n">
        <v>0.433</v>
      </c>
      <c r="Q18" s="0" t="n">
        <v>7432.587</v>
      </c>
    </row>
    <row r="19" customFormat="false" ht="15" hidden="false" customHeight="false" outlineLevel="0" collapsed="false">
      <c r="A19" s="0" t="n">
        <v>16</v>
      </c>
      <c r="B19" s="0" t="s">
        <v>52</v>
      </c>
      <c r="C19" s="0" t="s">
        <v>44</v>
      </c>
      <c r="D19" s="0" t="str">
        <f aca="false">LEFT(B19, 1)</f>
        <v>i</v>
      </c>
      <c r="E19" s="0" t="s">
        <v>29</v>
      </c>
      <c r="F19" s="0" t="s">
        <v>20</v>
      </c>
      <c r="H19" s="0" t="n">
        <f aca="false">$C$40</f>
        <v>505</v>
      </c>
      <c r="I19" s="0" t="n">
        <f aca="false">$C$41</f>
        <v>665</v>
      </c>
      <c r="J19" s="0" t="n">
        <f aca="false">45/105</f>
        <v>0.428571428571429</v>
      </c>
      <c r="K19" s="0" t="n">
        <v>11561</v>
      </c>
      <c r="L19" s="0" t="n">
        <v>0.19</v>
      </c>
      <c r="M19" s="0" t="n">
        <f aca="false">ROUND(K19*J19*IF(EXACT(D19,"i"), L19, 1-L19), 0)</f>
        <v>941</v>
      </c>
      <c r="N19" s="0" t="n">
        <f aca="false">ROUND(M19/$J$38*$K$38, 0)</f>
        <v>3258</v>
      </c>
      <c r="O19" s="0" t="n">
        <f aca="false">SUM(M19:N19)</f>
        <v>4199</v>
      </c>
      <c r="P19" s="0" t="n">
        <v>0.55</v>
      </c>
      <c r="Q19" s="0" t="n">
        <v>5305.151</v>
      </c>
    </row>
    <row r="20" customFormat="false" ht="16" hidden="false" customHeight="false" outlineLevel="0" collapsed="false">
      <c r="A20" s="0" t="n">
        <v>17</v>
      </c>
      <c r="B20" s="0" t="s">
        <v>53</v>
      </c>
      <c r="C20" s="0" t="s">
        <v>54</v>
      </c>
      <c r="D20" s="0" t="str">
        <f aca="false">LEFT(B20, 1)</f>
        <v>e</v>
      </c>
      <c r="E20" s="0" t="s">
        <v>55</v>
      </c>
      <c r="F20" s="0" t="s">
        <v>20</v>
      </c>
      <c r="H20" s="0" t="n">
        <f aca="false">$C$41</f>
        <v>665</v>
      </c>
      <c r="I20" s="0" t="n">
        <f aca="false">$C$42</f>
        <v>829</v>
      </c>
      <c r="J20" s="0" t="n">
        <v>1</v>
      </c>
      <c r="K20" s="0" t="n">
        <v>16185</v>
      </c>
      <c r="L20" s="0" t="n">
        <v>0.07</v>
      </c>
      <c r="M20" s="0" t="n">
        <f aca="false">ROUND(K20*J20*IF(EXACT(D20,"i"), L20, 1-L20), 0)</f>
        <v>15052</v>
      </c>
      <c r="N20" s="0" t="n">
        <f aca="false">ROUND(M20/$J$38*$K$38, 0)</f>
        <v>52120</v>
      </c>
      <c r="O20" s="0" t="n">
        <f aca="false">SUM(M20:N20)</f>
        <v>67172</v>
      </c>
      <c r="P20" s="0" t="n">
        <v>0.241</v>
      </c>
      <c r="Q20" s="0" t="n">
        <v>2292.098</v>
      </c>
    </row>
    <row r="21" customFormat="false" ht="15" hidden="false" customHeight="false" outlineLevel="0" collapsed="false">
      <c r="A21" s="0" t="n">
        <v>18</v>
      </c>
      <c r="B21" s="0" t="s">
        <v>56</v>
      </c>
      <c r="C21" s="0" t="s">
        <v>54</v>
      </c>
      <c r="D21" s="0" t="str">
        <f aca="false">LEFT(B21, 1)</f>
        <v>i</v>
      </c>
      <c r="E21" s="0" t="s">
        <v>25</v>
      </c>
      <c r="F21" s="0" t="s">
        <v>20</v>
      </c>
      <c r="H21" s="0" t="n">
        <f aca="false">$C$41</f>
        <v>665</v>
      </c>
      <c r="I21" s="0" t="n">
        <f aca="false">$C$42</f>
        <v>829</v>
      </c>
      <c r="J21" s="0" t="n">
        <f aca="false">8/96</f>
        <v>0.0833333333333333</v>
      </c>
      <c r="K21" s="0" t="n">
        <v>16185</v>
      </c>
      <c r="L21" s="0" t="n">
        <v>0.07</v>
      </c>
      <c r="M21" s="0" t="n">
        <f aca="false">ROUND(K21*J21*IF(EXACT(D21,"i"), L21, 1-L21), 0)</f>
        <v>94</v>
      </c>
      <c r="N21" s="0" t="n">
        <f aca="false">ROUND(M21/$J$38*$K$38, 0)</f>
        <v>325</v>
      </c>
      <c r="O21" s="0" t="n">
        <f aca="false">SUM(M21:N21)</f>
        <v>419</v>
      </c>
      <c r="P21" s="0" t="n">
        <v>0.537</v>
      </c>
      <c r="Q21" s="0" t="n">
        <v>2355.279</v>
      </c>
    </row>
    <row r="22" customFormat="false" ht="15" hidden="false" customHeight="false" outlineLevel="0" collapsed="false">
      <c r="A22" s="0" t="n">
        <v>19</v>
      </c>
      <c r="B22" s="0" t="s">
        <v>57</v>
      </c>
      <c r="C22" s="0" t="s">
        <v>54</v>
      </c>
      <c r="D22" s="0" t="str">
        <f aca="false">LEFT(B22, 1)</f>
        <v>i</v>
      </c>
      <c r="E22" s="0" t="s">
        <v>27</v>
      </c>
      <c r="F22" s="0" t="s">
        <v>20</v>
      </c>
      <c r="H22" s="0" t="n">
        <f aca="false">$C$41</f>
        <v>665</v>
      </c>
      <c r="I22" s="0" t="n">
        <f aca="false">$C$42</f>
        <v>829</v>
      </c>
      <c r="J22" s="0" t="n">
        <f aca="false">44/96</f>
        <v>0.458333333333333</v>
      </c>
      <c r="K22" s="0" t="n">
        <v>16185</v>
      </c>
      <c r="L22" s="0" t="n">
        <v>0.07</v>
      </c>
      <c r="M22" s="0" t="n">
        <f aca="false">ROUND(K22*J22*IF(EXACT(D22,"i"), L22, 1-L22), 0)</f>
        <v>519</v>
      </c>
      <c r="N22" s="0" t="n">
        <f aca="false">ROUND(M22/$J$38*$K$38, 0)</f>
        <v>1797</v>
      </c>
      <c r="O22" s="0" t="n">
        <f aca="false">SUM(M22:N22)</f>
        <v>2316</v>
      </c>
      <c r="P22" s="0" t="n">
        <v>0.433</v>
      </c>
      <c r="Q22" s="0" t="n">
        <v>7432.587</v>
      </c>
    </row>
    <row r="23" customFormat="false" ht="15" hidden="false" customHeight="false" outlineLevel="0" collapsed="false">
      <c r="A23" s="0" t="n">
        <v>20</v>
      </c>
      <c r="B23" s="0" t="s">
        <v>58</v>
      </c>
      <c r="C23" s="0" t="s">
        <v>54</v>
      </c>
      <c r="D23" s="0" t="str">
        <f aca="false">LEFT(B23, 1)</f>
        <v>i</v>
      </c>
      <c r="E23" s="0" t="s">
        <v>29</v>
      </c>
      <c r="F23" s="0" t="s">
        <v>20</v>
      </c>
      <c r="H23" s="0" t="n">
        <f aca="false">$C$41</f>
        <v>665</v>
      </c>
      <c r="I23" s="0" t="n">
        <f aca="false">$C$42</f>
        <v>829</v>
      </c>
      <c r="J23" s="0" t="n">
        <f aca="false">44/96</f>
        <v>0.458333333333333</v>
      </c>
      <c r="K23" s="0" t="n">
        <v>16185</v>
      </c>
      <c r="L23" s="0" t="n">
        <v>0.07</v>
      </c>
      <c r="M23" s="0" t="n">
        <f aca="false">ROUND(K23*J23*IF(EXACT(D23,"i"), L23, 1-L23), 0)</f>
        <v>519</v>
      </c>
      <c r="N23" s="0" t="n">
        <f aca="false">ROUND(M23/$J$38*$K$38, 0)</f>
        <v>1797</v>
      </c>
      <c r="O23" s="0" t="n">
        <f aca="false">SUM(M23:N23)</f>
        <v>2316</v>
      </c>
      <c r="P23" s="0" t="n">
        <v>0.55</v>
      </c>
      <c r="Q23" s="0" t="n">
        <v>5305.151</v>
      </c>
    </row>
    <row r="25" customFormat="false" ht="16" hidden="false" customHeight="false" outlineLevel="0" collapsed="false">
      <c r="M25" s="0" t="n">
        <f aca="false">SUM(M2:M23)</f>
        <v>66550</v>
      </c>
      <c r="N25" s="0" t="n">
        <f aca="false">SUM(N2:N23)</f>
        <v>230441</v>
      </c>
      <c r="O25" s="0" t="n">
        <f aca="false">SUM(O2:O23)</f>
        <v>296991</v>
      </c>
    </row>
    <row r="36" customFormat="false" ht="16" hidden="false" customHeight="false" outlineLevel="0" collapsed="false">
      <c r="A36" s="0" t="s">
        <v>59</v>
      </c>
      <c r="B36" s="0" t="s">
        <v>60</v>
      </c>
      <c r="C36" s="0" t="s">
        <v>61</v>
      </c>
      <c r="I36" s="0" t="s">
        <v>62</v>
      </c>
      <c r="J36" s="0" t="s">
        <v>63</v>
      </c>
      <c r="K36" s="0" t="s">
        <v>64</v>
      </c>
    </row>
    <row r="37" customFormat="false" ht="16" hidden="false" customHeight="false" outlineLevel="0" collapsed="false">
      <c r="A37" s="0" t="s">
        <v>65</v>
      </c>
      <c r="B37" s="0" t="n">
        <v>50</v>
      </c>
      <c r="C37" s="0" t="n">
        <f aca="false">SUM($B$37:$B37)</f>
        <v>50</v>
      </c>
      <c r="I37" s="0" t="s">
        <v>66</v>
      </c>
      <c r="J37" s="0" t="n">
        <v>0.4</v>
      </c>
      <c r="K37" s="0" t="n">
        <v>0.845</v>
      </c>
    </row>
    <row r="38" customFormat="false" ht="16" hidden="false" customHeight="false" outlineLevel="0" collapsed="false">
      <c r="A38" s="0" t="s">
        <v>67</v>
      </c>
      <c r="B38" s="0" t="n">
        <v>119</v>
      </c>
      <c r="C38" s="0" t="n">
        <f aca="false">SUM($B$37:$B38)</f>
        <v>169</v>
      </c>
      <c r="I38" s="0" t="s">
        <v>68</v>
      </c>
      <c r="J38" s="1" t="n">
        <f aca="false">J37^2*PI()</f>
        <v>0.502654824574367</v>
      </c>
      <c r="K38" s="1" t="n">
        <f aca="false">K37^2*PI() - J37^2*PI()</f>
        <v>1.74052086990508</v>
      </c>
    </row>
    <row r="39" customFormat="false" ht="16" hidden="false" customHeight="false" outlineLevel="0" collapsed="false">
      <c r="A39" s="0" t="s">
        <v>69</v>
      </c>
      <c r="B39" s="0" t="n">
        <v>188</v>
      </c>
      <c r="C39" s="0" t="n">
        <f aca="false">SUM($B$37:$B39)</f>
        <v>357</v>
      </c>
    </row>
    <row r="40" customFormat="false" ht="16" hidden="false" customHeight="false" outlineLevel="0" collapsed="false">
      <c r="A40" s="0" t="s">
        <v>70</v>
      </c>
      <c r="B40" s="0" t="n">
        <v>148</v>
      </c>
      <c r="C40" s="0" t="n">
        <f aca="false">SUM($B$37:$B40)</f>
        <v>505</v>
      </c>
    </row>
    <row r="41" customFormat="false" ht="16" hidden="false" customHeight="false" outlineLevel="0" collapsed="false">
      <c r="A41" s="0" t="s">
        <v>71</v>
      </c>
      <c r="B41" s="0" t="n">
        <v>160</v>
      </c>
      <c r="C41" s="0" t="n">
        <f aca="false">SUM($B$37:$B41)</f>
        <v>665</v>
      </c>
    </row>
    <row r="42" customFormat="false" ht="16" hidden="false" customHeight="false" outlineLevel="0" collapsed="false">
      <c r="A42" s="0" t="s">
        <v>72</v>
      </c>
      <c r="B42" s="0" t="n">
        <v>164</v>
      </c>
      <c r="C42" s="0" t="n">
        <f aca="false">SUM($B$37:$B42)</f>
        <v>829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5" defaultRowHeight="16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66"/>
  </cols>
  <sheetData>
    <row r="1" customFormat="false" ht="16" hidden="false" customHeight="false" outlineLevel="0" collapsed="false">
      <c r="A1" s="0" t="s">
        <v>73</v>
      </c>
      <c r="B1" s="0" t="s">
        <v>74</v>
      </c>
    </row>
    <row r="2" customFormat="false" ht="16" hidden="false" customHeight="false" outlineLevel="0" collapsed="false">
      <c r="A2" s="0" t="s">
        <v>75</v>
      </c>
      <c r="B2" s="0" t="n">
        <v>845</v>
      </c>
    </row>
    <row r="3" customFormat="false" ht="16" hidden="false" customHeight="false" outlineLevel="0" collapsed="false">
      <c r="A3" s="0" t="s">
        <v>76</v>
      </c>
      <c r="B3" s="0" t="n">
        <v>400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2021-05-21T17:25:13Z</dcterms:created>
  <dc:creator>Microsoft Office User</dc:creator>
  <dc:description/>
  <dc:language>en-US</dc:language>
  <cp:lastModifiedBy/>
  <dcterms:modified xsi:type="dcterms:W3CDTF">2022-01-24T16:29:30Z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