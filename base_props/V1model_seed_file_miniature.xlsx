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models" sheetId="1" state="visible" r:id="rId2"/>
    <sheet name="general_parameter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<sst xmlns="http://schemas.openxmlformats.org/spreadsheetml/2006/main" count="51" uniqueCount="46">
  <si>
    <t xml:space="preserve">pop_id</t>
  </si>
  <si>
    <t xml:space="preserve">pop_name</t>
  </si>
  <si>
    <t xml:space="preserve">location</t>
  </si>
  <si>
    <t xml:space="preserve">ei</t>
  </si>
  <si>
    <t xml:space="preserve">cre_line</t>
  </si>
  <si>
    <t xml:space="preserve">reporter_status</t>
  </si>
  <si>
    <t xml:space="preserve">me_type</t>
  </si>
  <si>
    <t xml:space="preserve">upper_bound</t>
  </si>
  <si>
    <t xml:space="preserve">lower_bound</t>
  </si>
  <si>
    <t xml:space="preserve">Relative fraction within ei</t>
  </si>
  <si>
    <t xml:space="preserve">base core cell number</t>
  </si>
  <si>
    <t xml:space="preserve">inhibitory fraction</t>
  </si>
  <si>
    <t xml:space="preserve">pop_core_count</t>
  </si>
  <si>
    <t xml:space="preserve">pop_peripheral_count</t>
  </si>
  <si>
    <t xml:space="preserve">pop_combined_count</t>
  </si>
  <si>
    <t xml:space="preserve">nsyns_lognorm_shape</t>
  </si>
  <si>
    <t xml:space="preserve">nsyns_lognorm_scale</t>
  </si>
  <si>
    <t xml:space="preserve">e4Nr5a1</t>
  </si>
  <si>
    <t xml:space="preserve">VisL4</t>
  </si>
  <si>
    <t xml:space="preserve">Nr5a1</t>
  </si>
  <si>
    <t xml:space="preserve">positive</t>
  </si>
  <si>
    <t xml:space="preserve">e4Rorb</t>
  </si>
  <si>
    <t xml:space="preserve">Rorb</t>
  </si>
  <si>
    <t xml:space="preserve">e4Scnn1a</t>
  </si>
  <si>
    <t xml:space="preserve">Scnn1a</t>
  </si>
  <si>
    <t xml:space="preserve">e4other</t>
  </si>
  <si>
    <t xml:space="preserve">Nr5a1,Rorb,Scnn1a</t>
  </si>
  <si>
    <t xml:space="preserve">negative</t>
  </si>
  <si>
    <t xml:space="preserve">Layer</t>
  </si>
  <si>
    <t xml:space="preserve">Layer thicknesses</t>
  </si>
  <si>
    <t xml:space="preserve">Layer boundaries</t>
  </si>
  <si>
    <t xml:space="preserve">Domain</t>
  </si>
  <si>
    <t xml:space="preserve">core</t>
  </si>
  <si>
    <t xml:space="preserve">peripheral</t>
  </si>
  <si>
    <t xml:space="preserve">neuropil</t>
  </si>
  <si>
    <t xml:space="preserve">radius (mm)</t>
  </si>
  <si>
    <t xml:space="preserve">L1</t>
  </si>
  <si>
    <t xml:space="preserve">area (mm^2)</t>
  </si>
  <si>
    <t xml:space="preserve">L23</t>
  </si>
  <si>
    <t xml:space="preserve">L4</t>
  </si>
  <si>
    <t xml:space="preserve">L5</t>
  </si>
  <si>
    <t xml:space="preserve">L6</t>
  </si>
  <si>
    <t xml:space="preserve">properties</t>
  </si>
  <si>
    <t xml:space="preserve">values</t>
  </si>
  <si>
    <t xml:space="preserve">radius</t>
  </si>
  <si>
    <t xml:space="preserve">core_radius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</si>
</sst>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1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selection pane="topLeft" activeCell="R5" activeCellId="0" sqref="R5"/>
    </sheetView>
  </sheetViews>
  <sheetFormatPr defaultColWidth="10.50390625" defaultRowHeight="16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12.83"/>
    <col collapsed="false" customWidth="true" hidden="false" outlineLevel="0" max="3" min="3" style="0" width="9.17"/>
    <col collapsed="false" customWidth="true" hidden="false" outlineLevel="0" max="4" min="4" style="0" width="5.16"/>
    <col collapsed="false" customWidth="true" hidden="false" outlineLevel="0" max="5" min="5" style="0" width="19"/>
    <col collapsed="false" customWidth="true" hidden="false" outlineLevel="0" max="7" min="6" style="0" width="14.66"/>
    <col collapsed="false" customWidth="true" hidden="false" outlineLevel="0" max="8" min="8" style="0" width="12.33"/>
    <col collapsed="false" customWidth="true" hidden="false" outlineLevel="0" max="9" min="9" style="0" width="13"/>
    <col collapsed="false" customWidth="true" hidden="false" outlineLevel="0" max="10" min="10" style="0" width="23.17"/>
    <col collapsed="false" customWidth="true" hidden="false" outlineLevel="0" max="11" min="11" style="0" width="19.83"/>
    <col collapsed="false" customWidth="true" hidden="false" outlineLevel="0" max="12" min="12" style="0" width="19.33"/>
    <col collapsed="false" customWidth="true" hidden="false" outlineLevel="0" max="13" min="13" style="0" width="14.84"/>
    <col collapsed="false" customWidth="true" hidden="false" outlineLevel="0" max="14" min="14" style="0" width="19.16"/>
    <col collapsed="false" customWidth="true" hidden="false" outlineLevel="0" max="15" min="15" style="0" width="19.5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0" t="n">
        <v>5</v>
      </c>
      <c r="B2" s="0" t="s">
        <v>17</v>
      </c>
      <c r="C2" s="0" t="s">
        <v>18</v>
      </c>
      <c r="D2" s="0" t="str">
        <f aca="false">LEFT(B2, 1)</f>
        <v>e</v>
      </c>
      <c r="E2" s="0" t="s">
        <v>19</v>
      </c>
      <c r="F2" s="0" t="s">
        <v>20</v>
      </c>
      <c r="H2" s="0" t="n">
        <f aca="false">$C$39</f>
        <v>0</v>
      </c>
      <c r="I2" s="0" t="n">
        <f aca="false">$C$40</f>
        <v>0</v>
      </c>
      <c r="J2" s="0" t="n">
        <v>0.12</v>
      </c>
      <c r="K2" s="0" t="n">
        <v>19553</v>
      </c>
      <c r="L2" s="0" t="n">
        <v>0.11</v>
      </c>
      <c r="M2" s="0" t="n">
        <f aca="false">ROUND(K2*J2*IF(EXACT(D2,"i"), L2, 1-L2), 0)</f>
        <v>2088</v>
      </c>
      <c r="N2" s="0" t="n">
        <f aca="false">ROUND(M2/$J$17*$K$17, 0)</f>
        <v>0</v>
      </c>
      <c r="O2" s="0" t="n">
        <f aca="false">SUM(M2:N2)</f>
        <v>2088</v>
      </c>
      <c r="P2" s="1" t="n">
        <v>0.345</v>
      </c>
      <c r="Q2" s="1" t="n">
        <v>2188.765</v>
      </c>
    </row>
    <row r="3" customFormat="false" ht="15" hidden="false" customHeight="false" outlineLevel="0" collapsed="false">
      <c r="A3" s="0" t="n">
        <v>6</v>
      </c>
      <c r="B3" s="0" t="s">
        <v>21</v>
      </c>
      <c r="C3" s="0" t="s">
        <v>18</v>
      </c>
      <c r="D3" s="0" t="str">
        <f aca="false">LEFT(B3, 1)</f>
        <v>e</v>
      </c>
      <c r="E3" s="0" t="s">
        <v>22</v>
      </c>
      <c r="F3" s="0" t="s">
        <v>20</v>
      </c>
      <c r="H3" s="0" t="n">
        <f aca="false">$C$39</f>
        <v>0</v>
      </c>
      <c r="I3" s="0" t="n">
        <f aca="false">$C$40</f>
        <v>0</v>
      </c>
      <c r="J3" s="0" t="n">
        <v>0.26</v>
      </c>
      <c r="K3" s="0" t="n">
        <v>19553</v>
      </c>
      <c r="L3" s="0" t="n">
        <v>0.11</v>
      </c>
      <c r="M3" s="0" t="n">
        <f aca="false">ROUND(K3*J3*IF(EXACT(D3,"i"), L3, 1-L3), 0)</f>
        <v>4525</v>
      </c>
      <c r="N3" s="0" t="n">
        <f aca="false">ROUND(M3/$J$17*$K$17, 0)</f>
        <v>0</v>
      </c>
      <c r="O3" s="0" t="n">
        <f aca="false">SUM(M3:N3)</f>
        <v>4525</v>
      </c>
      <c r="P3" s="1" t="n">
        <v>0.345</v>
      </c>
      <c r="Q3" s="1" t="n">
        <v>2188.765</v>
      </c>
    </row>
    <row r="4" customFormat="false" ht="15" hidden="false" customHeight="false" outlineLevel="0" collapsed="false">
      <c r="A4" s="0" t="n">
        <v>7</v>
      </c>
      <c r="B4" s="0" t="s">
        <v>23</v>
      </c>
      <c r="C4" s="0" t="s">
        <v>18</v>
      </c>
      <c r="D4" s="0" t="str">
        <f aca="false">LEFT(B4, 1)</f>
        <v>e</v>
      </c>
      <c r="E4" s="0" t="s">
        <v>24</v>
      </c>
      <c r="F4" s="0" t="s">
        <v>20</v>
      </c>
      <c r="H4" s="0" t="n">
        <f aca="false">$C$39</f>
        <v>0</v>
      </c>
      <c r="I4" s="0" t="n">
        <f aca="false">$C$40</f>
        <v>0</v>
      </c>
      <c r="J4" s="0" t="n">
        <v>0.3</v>
      </c>
      <c r="K4" s="0" t="n">
        <v>19553</v>
      </c>
      <c r="L4" s="0" t="n">
        <v>0.11</v>
      </c>
      <c r="M4" s="0" t="n">
        <f aca="false">ROUND(K4*J4*IF(EXACT(D4,"i"), L4, 1-L4), 0)</f>
        <v>5221</v>
      </c>
      <c r="N4" s="0" t="n">
        <f aca="false">ROUND(M4/$J$17*$K$17, 0)</f>
        <v>0</v>
      </c>
      <c r="O4" s="0" t="n">
        <f aca="false">SUM(M4:N4)</f>
        <v>5221</v>
      </c>
      <c r="P4" s="1" t="n">
        <v>0.345</v>
      </c>
      <c r="Q4" s="1" t="n">
        <v>2188.765</v>
      </c>
    </row>
    <row r="5" customFormat="false" ht="15" hidden="false" customHeight="false" outlineLevel="0" collapsed="false">
      <c r="A5" s="0" t="n">
        <v>8</v>
      </c>
      <c r="B5" s="0" t="s">
        <v>25</v>
      </c>
      <c r="C5" s="0" t="s">
        <v>18</v>
      </c>
      <c r="D5" s="0" t="str">
        <f aca="false">LEFT(B5, 1)</f>
        <v>e</v>
      </c>
      <c r="E5" s="0" t="s">
        <v>26</v>
      </c>
      <c r="F5" s="0" t="s">
        <v>27</v>
      </c>
      <c r="H5" s="0" t="n">
        <f aca="false">$C$39</f>
        <v>0</v>
      </c>
      <c r="I5" s="0" t="n">
        <f aca="false">$C$40</f>
        <v>0</v>
      </c>
      <c r="J5" s="0" t="n">
        <f aca="false">1-SUM($J2:$J4)</f>
        <v>0.32</v>
      </c>
      <c r="K5" s="0" t="n">
        <v>19553</v>
      </c>
      <c r="L5" s="0" t="n">
        <v>0.11</v>
      </c>
      <c r="M5" s="0" t="n">
        <f aca="false">ROUND(K5*J5*IF(EXACT(D5,"i"), L5, 1-L5), 0)</f>
        <v>5569</v>
      </c>
      <c r="N5" s="0" t="n">
        <f aca="false">ROUND(M5/$J$17*$K$17, 0)</f>
        <v>0</v>
      </c>
      <c r="O5" s="0" t="n">
        <f aca="false">SUM(M5:N5)</f>
        <v>5569</v>
      </c>
      <c r="P5" s="1" t="n">
        <v>0.345</v>
      </c>
      <c r="Q5" s="1" t="n">
        <v>2188.765</v>
      </c>
    </row>
    <row r="15" customFormat="false" ht="16" hidden="false" customHeight="false" outlineLevel="0" collapsed="false">
      <c r="A15" s="0" t="s">
        <v>28</v>
      </c>
      <c r="B15" s="0" t="s">
        <v>29</v>
      </c>
      <c r="C15" s="0" t="s">
        <v>30</v>
      </c>
      <c r="I15" s="0" t="s">
        <v>31</v>
      </c>
      <c r="J15" s="0" t="s">
        <v>32</v>
      </c>
      <c r="K15" s="0" t="s">
        <v>33</v>
      </c>
    </row>
    <row r="16" customFormat="false" ht="16" hidden="false" customHeight="false" outlineLevel="0" collapsed="false">
      <c r="A16" s="0" t="s">
        <v>34</v>
      </c>
      <c r="B16" s="0" t="n">
        <v>50</v>
      </c>
      <c r="C16" s="0" t="n">
        <f aca="false">SUM($B$16:$B16)</f>
        <v>50</v>
      </c>
      <c r="I16" s="0" t="s">
        <v>35</v>
      </c>
      <c r="J16" s="0" t="n">
        <v>0.4</v>
      </c>
      <c r="K16" s="0" t="n">
        <v>0.4</v>
      </c>
    </row>
    <row r="17" customFormat="false" ht="16" hidden="false" customHeight="false" outlineLevel="0" collapsed="false">
      <c r="A17" s="0" t="s">
        <v>36</v>
      </c>
      <c r="B17" s="0" t="n">
        <v>119</v>
      </c>
      <c r="C17" s="0" t="n">
        <f aca="false">SUM($B$16:$B17)</f>
        <v>169</v>
      </c>
      <c r="I17" s="0" t="s">
        <v>37</v>
      </c>
      <c r="J17" s="2" t="n">
        <f aca="false">J16^2*PI()</f>
        <v>0.502654824574367</v>
      </c>
      <c r="K17" s="2" t="n">
        <f aca="false">K16^2*PI() - J16^2*PI()</f>
        <v>0</v>
      </c>
    </row>
    <row r="18" customFormat="false" ht="16" hidden="false" customHeight="false" outlineLevel="0" collapsed="false">
      <c r="A18" s="0" t="s">
        <v>38</v>
      </c>
      <c r="B18" s="0" t="n">
        <v>188</v>
      </c>
      <c r="C18" s="0" t="n">
        <f aca="false">SUM($B$16:$B18)</f>
        <v>357</v>
      </c>
    </row>
    <row r="19" customFormat="false" ht="16" hidden="false" customHeight="false" outlineLevel="0" collapsed="false">
      <c r="A19" s="0" t="s">
        <v>39</v>
      </c>
      <c r="B19" s="0" t="n">
        <v>148</v>
      </c>
      <c r="C19" s="0" t="n">
        <f aca="false">SUM($B$16:$B19)</f>
        <v>505</v>
      </c>
    </row>
    <row r="20" customFormat="false" ht="16" hidden="false" customHeight="false" outlineLevel="0" collapsed="false">
      <c r="A20" s="0" t="s">
        <v>40</v>
      </c>
      <c r="B20" s="0" t="n">
        <v>160</v>
      </c>
      <c r="C20" s="0" t="n">
        <f aca="false">SUM($B$16:$B20)</f>
        <v>665</v>
      </c>
    </row>
    <row r="21" customFormat="false" ht="16" hidden="false" customHeight="false" outlineLevel="0" collapsed="false">
      <c r="A21" s="0" t="s">
        <v>41</v>
      </c>
      <c r="B21" s="0" t="n">
        <v>164</v>
      </c>
      <c r="C21" s="0" t="n">
        <f aca="false">SUM($B$16:$B21)</f>
        <v>829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0390625" defaultRowHeight="16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66"/>
  </cols>
  <sheetData>
    <row r="1" customFormat="false" ht="16" hidden="false" customHeight="false" outlineLevel="0" collapsed="false">
      <c r="A1" s="0" t="s">
        <v>42</v>
      </c>
      <c r="B1" s="0" t="s">
        <v>43</v>
      </c>
    </row>
    <row r="2" customFormat="false" ht="16" hidden="false" customHeight="false" outlineLevel="0" collapsed="false">
      <c r="A2" s="0" t="s">
        <v>44</v>
      </c>
      <c r="B2" s="0" t="n">
        <v>400</v>
      </c>
    </row>
    <row r="3" customFormat="false" ht="16" hidden="false" customHeight="false" outlineLevel="0" collapsed="false">
      <c r="A3" s="0" t="s">
        <v>45</v>
      </c>
      <c r="B3" s="0" t="n">
        <v>400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2021-05-21T17:25:13Z</dcterms:created>
  <dc:creator>Microsoft Office User</dc:creator>
  <dc:description/>
  <dc:language>en-US</dc:language>
  <cp:lastModifiedBy/>
  <dcterms:modified xsi:type="dcterms:W3CDTF">2022-02-21T16:26:12Z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