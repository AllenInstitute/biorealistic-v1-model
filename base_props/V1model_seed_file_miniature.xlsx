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nya.ito/wsdata/glif_builder/base_props/"/>
    </mc:Choice>
  </mc:AlternateContent>
  <xr:revisionPtr revIDLastSave="0" documentId="13_ncr:1_{9BE7C775-2213-BD41-97DC-CAB8C80D2EF4}" xr6:coauthVersionLast="47" xr6:coauthVersionMax="47" xr10:uidLastSave="{00000000-0000-0000-0000-000000000000}"/>
  <bookViews>
    <workbookView xWindow="17380" yWindow="12200" windowWidth="25600" windowHeight="15540" xr2:uid="{CFFEA874-25CC-4540-BE90-5AB415846019}"/>
  </bookViews>
  <sheets>
    <sheet name="cell_models" sheetId="1" r:id="rId1"/>
    <sheet name="general_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D2" i="1"/>
  <c r="M2" i="1" s="1"/>
  <c r="B3" i="2" l="1"/>
  <c r="B2" i="2"/>
  <c r="K14" i="1" l="1"/>
  <c r="J14" i="1"/>
  <c r="C14" i="1"/>
  <c r="C15" i="1"/>
  <c r="C16" i="1"/>
  <c r="C17" i="1"/>
  <c r="C18" i="1"/>
  <c r="C13" i="1"/>
  <c r="N2" i="1" l="1"/>
  <c r="O2" i="1" s="1"/>
</calcChain>
</file>

<file path=xl/sharedStrings.xml><?xml version="1.0" encoding="utf-8"?>
<sst xmlns="http://schemas.openxmlformats.org/spreadsheetml/2006/main" count="37" uniqueCount="37">
  <si>
    <t>e4Scnn1a</t>
  </si>
  <si>
    <t>VisL4</t>
  </si>
  <si>
    <t>ei</t>
  </si>
  <si>
    <t>Layer thicknesses</t>
  </si>
  <si>
    <t>Layer boundaries</t>
  </si>
  <si>
    <t>Layer</t>
  </si>
  <si>
    <t>neuropil</t>
  </si>
  <si>
    <t>L1</t>
  </si>
  <si>
    <t>L23</t>
  </si>
  <si>
    <t>L4</t>
  </si>
  <si>
    <t>L5</t>
  </si>
  <si>
    <t>L6</t>
  </si>
  <si>
    <t>Domain</t>
  </si>
  <si>
    <t>radius (mm)</t>
  </si>
  <si>
    <t>area (mm^2)</t>
  </si>
  <si>
    <t>core</t>
  </si>
  <si>
    <t>base core cell number</t>
  </si>
  <si>
    <t>inhibitory fraction</t>
  </si>
  <si>
    <t>peripheral</t>
  </si>
  <si>
    <t>location</t>
  </si>
  <si>
    <t>Relative fraction within ei</t>
  </si>
  <si>
    <t>reporter_status</t>
  </si>
  <si>
    <t>positive</t>
  </si>
  <si>
    <t>cre_line</t>
  </si>
  <si>
    <t>Scnn1a</t>
  </si>
  <si>
    <t>pop_name</t>
  </si>
  <si>
    <t>pop_id</t>
  </si>
  <si>
    <t>pop_combined_count</t>
  </si>
  <si>
    <t>pop_core_count</t>
  </si>
  <si>
    <t>pop_peripheral_count</t>
  </si>
  <si>
    <t>upper_bound</t>
  </si>
  <si>
    <t>lower_bound</t>
  </si>
  <si>
    <t>me_type</t>
  </si>
  <si>
    <t>core_radius</t>
  </si>
  <si>
    <t>radius</t>
  </si>
  <si>
    <t>properties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</si>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</sst>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7F6F-74AA-824C-8392-CC22C78F6ABE}">
  <dimension ref="A1:O18"/>
  <sheetViews>
    <sheetView tabSelected="1" workbookViewId="0">
      <selection activeCell="K3" sqref="K3"/>
    </sheetView>
  </sheetViews>
  <sheetFormatPr baseColWidth="10" defaultRowHeight="16" x14ac:dyDescent="0.2"/>
  <cols>
    <col min="1" max="1" width="7.33203125" customWidth="1"/>
    <col min="2" max="2" width="12.83203125" customWidth="1"/>
    <col min="3" max="3" width="9.1640625" customWidth="1"/>
    <col min="4" max="4" width="5.1640625" customWidth="1"/>
    <col min="5" max="5" width="19" customWidth="1"/>
    <col min="6" max="7" width="14.6640625" customWidth="1"/>
    <col min="8" max="8" width="12.33203125" customWidth="1"/>
    <col min="9" max="9" width="13" customWidth="1"/>
    <col min="10" max="10" width="23.1640625" customWidth="1"/>
    <col min="11" max="11" width="19.83203125" customWidth="1"/>
    <col min="12" max="12" width="19.33203125" customWidth="1"/>
    <col min="13" max="13" width="14.83203125" customWidth="1"/>
    <col min="14" max="14" width="19.1640625" customWidth="1"/>
    <col min="15" max="15" width="19.5" customWidth="1"/>
  </cols>
  <sheetData>
    <row r="1" spans="1:15" x14ac:dyDescent="0.2">
      <c r="A1" t="s">
        <v>26</v>
      </c>
      <c r="B1" t="s">
        <v>25</v>
      </c>
      <c r="C1" t="s">
        <v>19</v>
      </c>
      <c r="D1" t="s">
        <v>2</v>
      </c>
      <c r="E1" t="s">
        <v>23</v>
      </c>
      <c r="F1" t="s">
        <v>21</v>
      </c>
      <c r="G1" t="s">
        <v>32</v>
      </c>
      <c r="H1" t="s">
        <v>30</v>
      </c>
      <c r="I1" t="s">
        <v>31</v>
      </c>
      <c r="J1" t="s">
        <v>20</v>
      </c>
      <c r="K1" t="s">
        <v>16</v>
      </c>
      <c r="L1" t="s">
        <v>17</v>
      </c>
      <c r="M1" t="s">
        <v>28</v>
      </c>
      <c r="N1" t="s">
        <v>29</v>
      </c>
      <c r="O1" t="s">
        <v>27</v>
      </c>
    </row>
    <row r="2" spans="1:15" x14ac:dyDescent="0.2">
      <c r="A2">
        <v>7</v>
      </c>
      <c r="B2" t="s">
        <v>0</v>
      </c>
      <c r="C2" t="s">
        <v>1</v>
      </c>
      <c r="D2" t="str">
        <f t="shared" ref="D2" si="0">LEFT(B2, 1)</f>
        <v>e</v>
      </c>
      <c r="E2" t="s">
        <v>24</v>
      </c>
      <c r="F2" t="s">
        <v>22</v>
      </c>
      <c r="H2">
        <f>$C$36</f>
        <v>0</v>
      </c>
      <c r="I2">
        <f>$C$37</f>
        <v>0</v>
      </c>
      <c r="J2">
        <v>0.3</v>
      </c>
      <c r="K2">
        <v>500</v>
      </c>
      <c r="L2">
        <v>0.11</v>
      </c>
      <c r="M2">
        <f t="shared" ref="M2" si="1">ROUND(K2*J2*IF(EXACT(D2,"i"), L2, 1-L2), 0)</f>
        <v>134</v>
      </c>
      <c r="N2">
        <f>ROUND(M2/$J$14*$K$14, 0)</f>
        <v>464</v>
      </c>
      <c r="O2">
        <f t="shared" ref="O2" si="2">SUM(M2:N2)</f>
        <v>598</v>
      </c>
    </row>
    <row r="12" spans="1:15" x14ac:dyDescent="0.2">
      <c r="A12" t="s">
        <v>5</v>
      </c>
      <c r="B12" t="s">
        <v>3</v>
      </c>
      <c r="C12" t="s">
        <v>4</v>
      </c>
      <c r="I12" t="s">
        <v>12</v>
      </c>
      <c r="J12" t="s">
        <v>15</v>
      </c>
      <c r="K12" t="s">
        <v>18</v>
      </c>
    </row>
    <row r="13" spans="1:15" x14ac:dyDescent="0.2">
      <c r="A13" t="s">
        <v>6</v>
      </c>
      <c r="B13">
        <v>50</v>
      </c>
      <c r="C13">
        <f>SUM($B$13:$B13)</f>
        <v>50</v>
      </c>
      <c r="I13" t="s">
        <v>13</v>
      </c>
      <c r="J13">
        <v>0.4</v>
      </c>
      <c r="K13">
        <v>0.84499999999999997</v>
      </c>
    </row>
    <row r="14" spans="1:15" x14ac:dyDescent="0.2">
      <c r="A14" t="s">
        <v>7</v>
      </c>
      <c r="B14">
        <v>119</v>
      </c>
      <c r="C14">
        <f>SUM($B$13:$B14)</f>
        <v>169</v>
      </c>
      <c r="I14" t="s">
        <v>14</v>
      </c>
      <c r="J14" s="1">
        <f>J13^2*PI()</f>
        <v>0.50265482457436694</v>
      </c>
      <c r="K14" s="1">
        <f>K13^2*PI() - J13^2*PI()</f>
        <v>1.7405208699050847</v>
      </c>
    </row>
    <row r="15" spans="1:15" x14ac:dyDescent="0.2">
      <c r="A15" t="s">
        <v>8</v>
      </c>
      <c r="B15">
        <v>188</v>
      </c>
      <c r="C15">
        <f>SUM($B$13:$B15)</f>
        <v>357</v>
      </c>
    </row>
    <row r="16" spans="1:15" x14ac:dyDescent="0.2">
      <c r="A16" t="s">
        <v>9</v>
      </c>
      <c r="B16">
        <v>148</v>
      </c>
      <c r="C16">
        <f>SUM($B$13:$B16)</f>
        <v>505</v>
      </c>
    </row>
    <row r="17" spans="1:3" x14ac:dyDescent="0.2">
      <c r="A17" t="s">
        <v>10</v>
      </c>
      <c r="B17">
        <v>160</v>
      </c>
      <c r="C17">
        <f>SUM($B$13:$B17)</f>
        <v>665</v>
      </c>
    </row>
    <row r="18" spans="1:3" x14ac:dyDescent="0.2">
      <c r="A18" t="s">
        <v>11</v>
      </c>
      <c r="B18">
        <v>164</v>
      </c>
      <c r="C18">
        <f>SUM($B$13:$B18)</f>
        <v>829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B276-223D-6D40-A26E-7A81FF31A6D9}">
  <dimension ref="A1:B3"/>
  <sheetViews>
    <sheetView workbookViewId="0">
      <selection activeCell="B4" sqref="B4"/>
    </sheetView>
  </sheetViews>
  <sheetFormatPr baseColWidth="10" defaultRowHeight="16" x14ac:dyDescent="0.2"/>
  <cols>
    <col min="1" max="1" width="19.33203125" customWidth="1"/>
    <col min="2" max="2" width="20.6640625" customWidth="1"/>
  </cols>
  <sheetData>
    <row r="1" spans="1:2" x14ac:dyDescent="0.2">
      <c r="A1" t="s">
        <v>35</v>
      </c>
      <c r="B1" t="s">
        <v>36</v>
      </c>
    </row>
    <row r="2" spans="1:2" x14ac:dyDescent="0.2">
      <c r="A2" t="s">
        <v>34</v>
      </c>
      <c r="B2">
        <f>845 / 100</f>
        <v>8.4499999999999993</v>
      </c>
    </row>
    <row r="3" spans="1:2" x14ac:dyDescent="0.2">
      <c r="A3" t="s">
        <v>33</v>
      </c>
      <c r="B3">
        <f>400/100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cell_models</vt:lpstr>
      <vt:lpstr>general_parameters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2021-05-21T17:25:13Z</dcterms:created>
  <dcterms:modified xsi:type="dcterms:W3CDTF">2021-10-28T00:08:21Z</dcterms:modified>
</cp:coreProperties>
</file>