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ya.ito/wsdata/glif_builder/base_props/"/>
    </mc:Choice>
  </mc:AlternateContent>
  <xr:revisionPtr revIDLastSave="0" documentId="13_ncr:1_{C7824E35-C841-2E48-AA72-28345ABCD239}" xr6:coauthVersionLast="47" xr6:coauthVersionMax="47" xr10:uidLastSave="{00000000-0000-0000-0000-000000000000}"/>
  <bookViews>
    <workbookView xWindow="8500" yWindow="6680" windowWidth="31160" windowHeight="22080" xr2:uid="{CFFEA874-25CC-4540-BE90-5AB415846019}"/>
  </bookViews>
  <sheets>
    <sheet name="cell_models" sheetId="1" r:id="rId1"/>
    <sheet name="general_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" l="1"/>
  <c r="M5" i="1" s="1"/>
  <c r="I5" i="1"/>
  <c r="H5" i="1"/>
  <c r="D5" i="1"/>
  <c r="M4" i="1"/>
  <c r="I4" i="1"/>
  <c r="H4" i="1"/>
  <c r="D4" i="1"/>
  <c r="I3" i="1"/>
  <c r="H3" i="1"/>
  <c r="D3" i="1"/>
  <c r="M3" i="1" s="1"/>
  <c r="I2" i="1"/>
  <c r="H2" i="1"/>
  <c r="D2" i="1"/>
  <c r="M2" i="1" s="1"/>
  <c r="K17" i="1" l="1"/>
  <c r="J17" i="1"/>
  <c r="C17" i="1"/>
  <c r="C18" i="1"/>
  <c r="C19" i="1"/>
  <c r="C20" i="1"/>
  <c r="C21" i="1"/>
  <c r="C16" i="1"/>
  <c r="N3" i="1" l="1"/>
  <c r="O3" i="1" s="1"/>
  <c r="N4" i="1"/>
  <c r="O4" i="1" s="1"/>
  <c r="N5" i="1"/>
  <c r="O5" i="1" s="1"/>
  <c r="N2" i="1"/>
  <c r="O2" i="1" s="1"/>
</calcChain>
</file>

<file path=xl/sharedStrings.xml><?xml version="1.0" encoding="utf-8"?>
<sst xmlns="http://schemas.openxmlformats.org/spreadsheetml/2006/main" count="49" uniqueCount="44">
  <si>
    <t>e4Scnn1a</t>
  </si>
  <si>
    <t>VisL4</t>
  </si>
  <si>
    <t>ei</t>
  </si>
  <si>
    <t>Layer thicknesses</t>
  </si>
  <si>
    <t>Layer boundaries</t>
  </si>
  <si>
    <t>Layer</t>
  </si>
  <si>
    <t>neuropil</t>
  </si>
  <si>
    <t>L1</t>
  </si>
  <si>
    <t>L23</t>
  </si>
  <si>
    <t>L4</t>
  </si>
  <si>
    <t>L5</t>
  </si>
  <si>
    <t>L6</t>
  </si>
  <si>
    <t>Domain</t>
  </si>
  <si>
    <t>radius (mm)</t>
  </si>
  <si>
    <t>area (mm^2)</t>
  </si>
  <si>
    <t>core</t>
  </si>
  <si>
    <t>base core cell number</t>
  </si>
  <si>
    <t>inhibitory fraction</t>
  </si>
  <si>
    <t>peripheral</t>
  </si>
  <si>
    <t>location</t>
  </si>
  <si>
    <t>Relative fraction within ei</t>
  </si>
  <si>
    <t>reporter_status</t>
  </si>
  <si>
    <t>positive</t>
  </si>
  <si>
    <t>cre_line</t>
  </si>
  <si>
    <t>Scnn1a</t>
  </si>
  <si>
    <t>pop_name</t>
  </si>
  <si>
    <t>pop_id</t>
  </si>
  <si>
    <t>pop_combined_count</t>
  </si>
  <si>
    <t>pop_core_count</t>
  </si>
  <si>
    <t>pop_peripheral_count</t>
  </si>
  <si>
    <t>upper_bound</t>
  </si>
  <si>
    <t>lower_bound</t>
  </si>
  <si>
    <t>me_type</t>
  </si>
  <si>
    <t>core_radius</t>
  </si>
  <si>
    <t>radius</t>
  </si>
  <si>
    <t>properties</t>
  </si>
  <si>
    <t>values</t>
  </si>
  <si>
    <t>e4Nr5a1</t>
  </si>
  <si>
    <t>Nr5a1</t>
  </si>
  <si>
    <t>e4Rorb</t>
  </si>
  <si>
    <t>Rorb</t>
  </si>
  <si>
    <t>e4other</t>
  </si>
  <si>
    <t>Nr5a1,Rorb,Scnn1a</t>
  </si>
  <si>
    <t>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</si>
</sst>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17F6F-74AA-824C-8392-CC22C78F6ABE}">
  <dimension ref="A1:O21"/>
  <sheetViews>
    <sheetView tabSelected="1" workbookViewId="0">
      <selection activeCell="K17" sqref="K17"/>
    </sheetView>
  </sheetViews>
  <sheetFormatPr baseColWidth="10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1" width="19.83203125" customWidth="1"/>
    <col min="12" max="12" width="19.33203125" customWidth="1"/>
    <col min="13" max="13" width="14.83203125" customWidth="1"/>
    <col min="14" max="14" width="19.1640625" customWidth="1"/>
    <col min="15" max="15" width="19.5" customWidth="1"/>
  </cols>
  <sheetData>
    <row r="1" spans="1:15" x14ac:dyDescent="0.2">
      <c r="A1" t="s">
        <v>26</v>
      </c>
      <c r="B1" t="s">
        <v>25</v>
      </c>
      <c r="C1" t="s">
        <v>19</v>
      </c>
      <c r="D1" t="s">
        <v>2</v>
      </c>
      <c r="E1" t="s">
        <v>23</v>
      </c>
      <c r="F1" t="s">
        <v>21</v>
      </c>
      <c r="G1" t="s">
        <v>32</v>
      </c>
      <c r="H1" t="s">
        <v>30</v>
      </c>
      <c r="I1" t="s">
        <v>31</v>
      </c>
      <c r="J1" t="s">
        <v>20</v>
      </c>
      <c r="K1" t="s">
        <v>16</v>
      </c>
      <c r="L1" t="s">
        <v>17</v>
      </c>
      <c r="M1" t="s">
        <v>28</v>
      </c>
      <c r="N1" t="s">
        <v>29</v>
      </c>
      <c r="O1" t="s">
        <v>27</v>
      </c>
    </row>
    <row r="2" spans="1:15" x14ac:dyDescent="0.2">
      <c r="A2">
        <v>5</v>
      </c>
      <c r="B2" t="s">
        <v>37</v>
      </c>
      <c r="C2" t="s">
        <v>1</v>
      </c>
      <c r="D2" t="str">
        <f t="shared" ref="D2:D5" si="0">LEFT(B2, 1)</f>
        <v>e</v>
      </c>
      <c r="E2" t="s">
        <v>38</v>
      </c>
      <c r="F2" t="s">
        <v>22</v>
      </c>
      <c r="H2">
        <f t="shared" ref="H2:H5" si="1">$C$39</f>
        <v>0</v>
      </c>
      <c r="I2">
        <f t="shared" ref="I2:I5" si="2">$C$40</f>
        <v>0</v>
      </c>
      <c r="J2">
        <v>0.12</v>
      </c>
      <c r="K2">
        <v>19553</v>
      </c>
      <c r="L2">
        <v>0.11</v>
      </c>
      <c r="M2">
        <f t="shared" ref="M2:M5" si="3">ROUND(K2*J2*IF(EXACT(D2,"i"), L2, 1-L2), 0)</f>
        <v>2088</v>
      </c>
      <c r="N2">
        <f>ROUND(M2/$J$17*$K$17, 0)</f>
        <v>0</v>
      </c>
      <c r="O2">
        <f t="shared" ref="O2:O5" si="4">SUM(M2:N2)</f>
        <v>2088</v>
      </c>
    </row>
    <row r="3" spans="1:15" x14ac:dyDescent="0.2">
      <c r="A3">
        <v>6</v>
      </c>
      <c r="B3" t="s">
        <v>39</v>
      </c>
      <c r="C3" t="s">
        <v>1</v>
      </c>
      <c r="D3" t="str">
        <f t="shared" si="0"/>
        <v>e</v>
      </c>
      <c r="E3" t="s">
        <v>40</v>
      </c>
      <c r="F3" t="s">
        <v>22</v>
      </c>
      <c r="H3">
        <f t="shared" si="1"/>
        <v>0</v>
      </c>
      <c r="I3">
        <f t="shared" si="2"/>
        <v>0</v>
      </c>
      <c r="J3">
        <v>0.26</v>
      </c>
      <c r="K3">
        <v>19553</v>
      </c>
      <c r="L3">
        <v>0.11</v>
      </c>
      <c r="M3">
        <f t="shared" si="3"/>
        <v>4525</v>
      </c>
      <c r="N3">
        <f t="shared" ref="N3:N5" si="5">ROUND(M3/$J$17*$K$17, 0)</f>
        <v>0</v>
      </c>
      <c r="O3">
        <f t="shared" si="4"/>
        <v>4525</v>
      </c>
    </row>
    <row r="4" spans="1:15" x14ac:dyDescent="0.2">
      <c r="A4">
        <v>7</v>
      </c>
      <c r="B4" t="s">
        <v>0</v>
      </c>
      <c r="C4" t="s">
        <v>1</v>
      </c>
      <c r="D4" t="str">
        <f t="shared" si="0"/>
        <v>e</v>
      </c>
      <c r="E4" t="s">
        <v>24</v>
      </c>
      <c r="F4" t="s">
        <v>22</v>
      </c>
      <c r="H4">
        <f t="shared" si="1"/>
        <v>0</v>
      </c>
      <c r="I4">
        <f t="shared" si="2"/>
        <v>0</v>
      </c>
      <c r="J4">
        <v>0.3</v>
      </c>
      <c r="K4">
        <v>19553</v>
      </c>
      <c r="L4">
        <v>0.11</v>
      </c>
      <c r="M4">
        <f t="shared" si="3"/>
        <v>5221</v>
      </c>
      <c r="N4">
        <f t="shared" si="5"/>
        <v>0</v>
      </c>
      <c r="O4">
        <f t="shared" si="4"/>
        <v>5221</v>
      </c>
    </row>
    <row r="5" spans="1:15" x14ac:dyDescent="0.2">
      <c r="A5">
        <v>8</v>
      </c>
      <c r="B5" t="s">
        <v>41</v>
      </c>
      <c r="C5" t="s">
        <v>1</v>
      </c>
      <c r="D5" t="str">
        <f t="shared" si="0"/>
        <v>e</v>
      </c>
      <c r="E5" t="s">
        <v>42</v>
      </c>
      <c r="F5" t="s">
        <v>43</v>
      </c>
      <c r="H5">
        <f t="shared" si="1"/>
        <v>0</v>
      </c>
      <c r="I5">
        <f t="shared" si="2"/>
        <v>0</v>
      </c>
      <c r="J5">
        <f>1-SUM($J2:$J4)</f>
        <v>0.32000000000000006</v>
      </c>
      <c r="K5">
        <v>19553</v>
      </c>
      <c r="L5">
        <v>0.11</v>
      </c>
      <c r="M5">
        <f t="shared" si="3"/>
        <v>5569</v>
      </c>
      <c r="N5">
        <f t="shared" si="5"/>
        <v>0</v>
      </c>
      <c r="O5">
        <f t="shared" si="4"/>
        <v>5569</v>
      </c>
    </row>
    <row r="15" spans="1:15" x14ac:dyDescent="0.2">
      <c r="A15" t="s">
        <v>5</v>
      </c>
      <c r="B15" t="s">
        <v>3</v>
      </c>
      <c r="C15" t="s">
        <v>4</v>
      </c>
      <c r="I15" t="s">
        <v>12</v>
      </c>
      <c r="J15" t="s">
        <v>15</v>
      </c>
      <c r="K15" t="s">
        <v>18</v>
      </c>
    </row>
    <row r="16" spans="1:15" x14ac:dyDescent="0.2">
      <c r="A16" t="s">
        <v>6</v>
      </c>
      <c r="B16">
        <v>50</v>
      </c>
      <c r="C16">
        <f>SUM($B$16:$B16)</f>
        <v>50</v>
      </c>
      <c r="I16" t="s">
        <v>13</v>
      </c>
      <c r="J16">
        <v>0.4</v>
      </c>
      <c r="K16">
        <v>0.4</v>
      </c>
    </row>
    <row r="17" spans="1:11" x14ac:dyDescent="0.2">
      <c r="A17" t="s">
        <v>7</v>
      </c>
      <c r="B17">
        <v>119</v>
      </c>
      <c r="C17">
        <f>SUM($B$16:$B17)</f>
        <v>169</v>
      </c>
      <c r="I17" t="s">
        <v>14</v>
      </c>
      <c r="J17" s="1">
        <f>J16^2*PI()</f>
        <v>0.50265482457436694</v>
      </c>
      <c r="K17" s="1">
        <f>K16^2*PI() - J16^2*PI()</f>
        <v>0</v>
      </c>
    </row>
    <row r="18" spans="1:11" x14ac:dyDescent="0.2">
      <c r="A18" t="s">
        <v>8</v>
      </c>
      <c r="B18">
        <v>188</v>
      </c>
      <c r="C18">
        <f>SUM($B$16:$B18)</f>
        <v>357</v>
      </c>
    </row>
    <row r="19" spans="1:11" x14ac:dyDescent="0.2">
      <c r="A19" t="s">
        <v>9</v>
      </c>
      <c r="B19">
        <v>148</v>
      </c>
      <c r="C19">
        <f>SUM($B$16:$B19)</f>
        <v>505</v>
      </c>
    </row>
    <row r="20" spans="1:11" x14ac:dyDescent="0.2">
      <c r="A20" t="s">
        <v>10</v>
      </c>
      <c r="B20">
        <v>160</v>
      </c>
      <c r="C20">
        <f>SUM($B$16:$B20)</f>
        <v>665</v>
      </c>
    </row>
    <row r="21" spans="1:11" x14ac:dyDescent="0.2">
      <c r="A21" t="s">
        <v>11</v>
      </c>
      <c r="B21">
        <v>164</v>
      </c>
      <c r="C21">
        <f>SUM($B$16:$B21)</f>
        <v>829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5B276-223D-6D40-A26E-7A81FF31A6D9}">
  <dimension ref="A1:B3"/>
  <sheetViews>
    <sheetView workbookViewId="0">
      <selection activeCell="B2" sqref="B2"/>
    </sheetView>
  </sheetViews>
  <sheetFormatPr baseColWidth="10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35</v>
      </c>
      <c r="B1" t="s">
        <v>36</v>
      </c>
    </row>
    <row r="2" spans="1:2" x14ac:dyDescent="0.2">
      <c r="A2" t="s">
        <v>34</v>
      </c>
      <c r="B2">
        <v>400</v>
      </c>
    </row>
    <row r="3" spans="1:2" x14ac:dyDescent="0.2">
      <c r="A3" t="s">
        <v>33</v>
      </c>
      <c r="B3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cell_models</vt:lpstr>
      <vt:lpstr>general_parameters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2021-05-21T17:25:13Z</dcterms:created>
  <dcterms:modified xsi:type="dcterms:W3CDTF">2021-11-01T21:30:59Z</dcterms:modified>
</cp:coreProperties>
</file>